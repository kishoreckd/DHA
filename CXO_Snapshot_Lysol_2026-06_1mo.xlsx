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Users/arunmurugadoss/Sites/DX Vitals/Assessment-Lysol/Assessment Report/"/>
    </mc:Choice>
  </mc:AlternateContent>
  <xr:revisionPtr revIDLastSave="1" documentId="13_ncr:1_{44FB364A-D397-3946-AA14-B3996E9CC6FE}" xr6:coauthVersionLast="47" xr6:coauthVersionMax="47" xr10:uidLastSave="{ED50F2D4-77B4-4946-AC07-03A37070C123}"/>
  <bookViews>
    <workbookView xWindow="0" yWindow="660" windowWidth="30240" windowHeight="17480" firstSheet="17" activeTab="8" xr2:uid="{00000000-000D-0000-FFFF-FFFF00000000}"/>
  </bookViews>
  <sheets>
    <sheet name="README &amp; Workflow" sheetId="1" r:id="rId1"/>
    <sheet name="Snapshot Setup" sheetId="2" r:id="rId2"/>
    <sheet name="Metric Reference" sheetId="3" r:id="rId3"/>
    <sheet name="Lysol - DHA" sheetId="4" r:id="rId4"/>
    <sheet name="Score — Lysol" sheetId="5" r:id="rId5"/>
    <sheet name="Score — Comp 1" sheetId="6" r:id="rId6"/>
    <sheet name="Score — Comp 2" sheetId="7" r:id="rId7"/>
    <sheet name="Score — Comp 3" sheetId="8" r:id="rId8"/>
    <sheet name="Computed — Sub-Dim Scores" sheetId="9" r:id="rId9"/>
    <sheet name="Computed — Dim Scores" sheetId="10" r:id="rId10"/>
    <sheet name="Computed — Composites" sheetId="11" r:id="rId11"/>
    <sheet name="Computed — Metric Long" sheetId="12" r:id="rId12"/>
    <sheet name="Snapshot Output" sheetId="13" r:id="rId13"/>
    <sheet name="Trend — Composite (Long)" sheetId="14" r:id="rId14"/>
    <sheet name="Trend — Dim (Long)" sheetId="15" r:id="rId15"/>
    <sheet name="Trend — Sub-Dim (Long)" sheetId="16" r:id="rId16"/>
    <sheet name="Trend — Metric (Long)" sheetId="17" r:id="rId17"/>
    <sheet name="Score Summary" sheetId="18" r:id="rId18"/>
  </sheets>
  <definedNames>
    <definedName name="_xlnm._FilterDatabase" localSheetId="11" hidden="1">'Computed — Metric Long'!$A$3:$H$401</definedName>
    <definedName name="_xlnm._FilterDatabase" localSheetId="3" hidden="1">'Lysol - DHA'!$A$3:$P$71</definedName>
    <definedName name="_xlnm._FilterDatabase" localSheetId="2" hidden="1">'Metric Reference'!$A$3:$L$71</definedName>
    <definedName name="_xlnm._FilterDatabase" localSheetId="5" hidden="1">'Score — Comp 1'!$A$3:$F$71</definedName>
    <definedName name="_xlnm._FilterDatabase" localSheetId="6" hidden="1">'Score — Comp 2'!$A$3:$F$71</definedName>
    <definedName name="_xlnm._FilterDatabase" localSheetId="7" hidden="1">'Score — Comp 3'!$A$3:$F$71</definedName>
    <definedName name="_xlnm._FilterDatabase" localSheetId="4" hidden="1">'Score — Lysol'!$A$3:$F$71</definedName>
    <definedName name="_xlnm._FilterDatabase" localSheetId="13" hidden="1">'Trend — Composite (Long)'!$A$1:$E$1</definedName>
    <definedName name="_xlnm._FilterDatabase" localSheetId="14" hidden="1">'Trend — Dim (Long)'!$A$1:$E$1</definedName>
    <definedName name="_xlnm._FilterDatabase" localSheetId="16" hidden="1">'Trend — Metric (Long)'!$A$1:$H$1</definedName>
    <definedName name="_xlnm._FilterDatabase" localSheetId="15" hidden="1">'Trend — Sub-Dim (Long)'!$A$1:$G$1</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D4" i="10"/>
  <c r="K4" i="17"/>
  <c r="K3" i="17"/>
  <c r="K2" i="17"/>
  <c r="J4" i="16"/>
  <c r="J3" i="16"/>
  <c r="J2" i="16"/>
  <c r="H4" i="15"/>
  <c r="H3" i="15"/>
  <c r="H2" i="15"/>
  <c r="H4" i="14"/>
  <c r="H3" i="14"/>
  <c r="H2" i="14"/>
  <c r="B27" i="13"/>
  <c r="B26" i="13"/>
  <c r="B25" i="13"/>
  <c r="B24" i="13"/>
  <c r="B23" i="13"/>
  <c r="E14" i="13"/>
  <c r="D14" i="13"/>
  <c r="C14" i="13"/>
  <c r="B14" i="13"/>
  <c r="E3" i="13"/>
  <c r="B3" i="13"/>
  <c r="H275" i="12"/>
  <c r="B275" i="12"/>
  <c r="A275" i="12"/>
  <c r="H274" i="12"/>
  <c r="B274" i="12"/>
  <c r="A274" i="12"/>
  <c r="H273" i="12"/>
  <c r="B273" i="12"/>
  <c r="A273" i="12"/>
  <c r="H272" i="12"/>
  <c r="B272" i="12"/>
  <c r="A272" i="12"/>
  <c r="H271" i="12"/>
  <c r="B271" i="12"/>
  <c r="A271" i="12"/>
  <c r="H270" i="12"/>
  <c r="B270" i="12"/>
  <c r="A270" i="12"/>
  <c r="H269" i="12"/>
  <c r="B269" i="12"/>
  <c r="A269" i="12"/>
  <c r="H268" i="12"/>
  <c r="B268" i="12"/>
  <c r="A268" i="12"/>
  <c r="H267" i="12"/>
  <c r="B267" i="12"/>
  <c r="A267" i="12"/>
  <c r="H266" i="12"/>
  <c r="B266" i="12"/>
  <c r="A266" i="12"/>
  <c r="H265" i="12"/>
  <c r="B265" i="12"/>
  <c r="A265" i="12"/>
  <c r="H264" i="12"/>
  <c r="B264" i="12"/>
  <c r="A264" i="12"/>
  <c r="H263" i="12"/>
  <c r="B263" i="12"/>
  <c r="A263" i="12"/>
  <c r="H262" i="12"/>
  <c r="B262" i="12"/>
  <c r="A262" i="12"/>
  <c r="H261" i="12"/>
  <c r="B261" i="12"/>
  <c r="A261" i="12"/>
  <c r="H260" i="12"/>
  <c r="B260" i="12"/>
  <c r="A260" i="12"/>
  <c r="H259" i="12"/>
  <c r="B259" i="12"/>
  <c r="A259" i="12"/>
  <c r="H258" i="12"/>
  <c r="B258" i="12"/>
  <c r="A258" i="12"/>
  <c r="H257" i="12"/>
  <c r="B257" i="12"/>
  <c r="A257" i="12"/>
  <c r="H256" i="12"/>
  <c r="B256" i="12"/>
  <c r="A256" i="12"/>
  <c r="H255" i="12"/>
  <c r="B255" i="12"/>
  <c r="A255" i="12"/>
  <c r="H254" i="12"/>
  <c r="B254" i="12"/>
  <c r="A254" i="12"/>
  <c r="H253" i="12"/>
  <c r="B253" i="12"/>
  <c r="A253" i="12"/>
  <c r="H252" i="12"/>
  <c r="B252" i="12"/>
  <c r="A252" i="12"/>
  <c r="H251" i="12"/>
  <c r="B251" i="12"/>
  <c r="A251" i="12"/>
  <c r="H250" i="12"/>
  <c r="B250" i="12"/>
  <c r="A250" i="12"/>
  <c r="H249" i="12"/>
  <c r="B249" i="12"/>
  <c r="A249" i="12"/>
  <c r="H248" i="12"/>
  <c r="B248" i="12"/>
  <c r="A248" i="12"/>
  <c r="H247" i="12"/>
  <c r="B247" i="12"/>
  <c r="A247" i="12"/>
  <c r="H246" i="12"/>
  <c r="B246" i="12"/>
  <c r="A246" i="12"/>
  <c r="H245" i="12"/>
  <c r="B245" i="12"/>
  <c r="A245" i="12"/>
  <c r="H244" i="12"/>
  <c r="B244" i="12"/>
  <c r="A244" i="12"/>
  <c r="H243" i="12"/>
  <c r="B243" i="12"/>
  <c r="A243" i="12"/>
  <c r="H242" i="12"/>
  <c r="B242" i="12"/>
  <c r="A242" i="12"/>
  <c r="H241" i="12"/>
  <c r="B241" i="12"/>
  <c r="A241" i="12"/>
  <c r="H240" i="12"/>
  <c r="B240" i="12"/>
  <c r="A240" i="12"/>
  <c r="H239" i="12"/>
  <c r="B239" i="12"/>
  <c r="A239" i="12"/>
  <c r="H238" i="12"/>
  <c r="B238" i="12"/>
  <c r="A238" i="12"/>
  <c r="H237" i="12"/>
  <c r="B237" i="12"/>
  <c r="A237" i="12"/>
  <c r="H236" i="12"/>
  <c r="B236" i="12"/>
  <c r="A236" i="12"/>
  <c r="H235" i="12"/>
  <c r="B235" i="12"/>
  <c r="A235" i="12"/>
  <c r="H234" i="12"/>
  <c r="B234" i="12"/>
  <c r="A234" i="12"/>
  <c r="H233" i="12"/>
  <c r="B233" i="12"/>
  <c r="A233" i="12"/>
  <c r="H232" i="12"/>
  <c r="B232" i="12"/>
  <c r="A232" i="12"/>
  <c r="H231" i="12"/>
  <c r="B231" i="12"/>
  <c r="A231" i="12"/>
  <c r="H230" i="12"/>
  <c r="B230" i="12"/>
  <c r="A230" i="12"/>
  <c r="H229" i="12"/>
  <c r="B229" i="12"/>
  <c r="A229" i="12"/>
  <c r="H228" i="12"/>
  <c r="B228" i="12"/>
  <c r="A228" i="12"/>
  <c r="H227" i="12"/>
  <c r="B227" i="12"/>
  <c r="A227" i="12"/>
  <c r="H226" i="12"/>
  <c r="B226" i="12"/>
  <c r="A226" i="12"/>
  <c r="H225" i="12"/>
  <c r="B225" i="12"/>
  <c r="A225" i="12"/>
  <c r="H224" i="12"/>
  <c r="B224" i="12"/>
  <c r="A224" i="12"/>
  <c r="H223" i="12"/>
  <c r="B223" i="12"/>
  <c r="A223" i="12"/>
  <c r="H222" i="12"/>
  <c r="B222" i="12"/>
  <c r="A222" i="12"/>
  <c r="H221" i="12"/>
  <c r="B221" i="12"/>
  <c r="A221" i="12"/>
  <c r="H220" i="12"/>
  <c r="B220" i="12"/>
  <c r="A220" i="12"/>
  <c r="H219" i="12"/>
  <c r="B219" i="12"/>
  <c r="A219" i="12"/>
  <c r="H218" i="12"/>
  <c r="B218" i="12"/>
  <c r="A218" i="12"/>
  <c r="H217" i="12"/>
  <c r="B217" i="12"/>
  <c r="A217" i="12"/>
  <c r="H216" i="12"/>
  <c r="B216" i="12"/>
  <c r="A216" i="12"/>
  <c r="H215" i="12"/>
  <c r="B215" i="12"/>
  <c r="A215" i="12"/>
  <c r="H214" i="12"/>
  <c r="B214" i="12"/>
  <c r="A214" i="12"/>
  <c r="H213" i="12"/>
  <c r="B213" i="12"/>
  <c r="A213" i="12"/>
  <c r="H212" i="12"/>
  <c r="B212" i="12"/>
  <c r="A212" i="12"/>
  <c r="H211" i="12"/>
  <c r="B211" i="12"/>
  <c r="A211" i="12"/>
  <c r="H210" i="12"/>
  <c r="B210" i="12"/>
  <c r="A210" i="12"/>
  <c r="H209" i="12"/>
  <c r="B209" i="12"/>
  <c r="A209" i="12"/>
  <c r="H208" i="12"/>
  <c r="B208" i="12"/>
  <c r="A208" i="12"/>
  <c r="H207" i="12"/>
  <c r="B207" i="12"/>
  <c r="A207" i="12"/>
  <c r="H206" i="12"/>
  <c r="B206" i="12"/>
  <c r="A206" i="12"/>
  <c r="H205" i="12"/>
  <c r="B205" i="12"/>
  <c r="A205" i="12"/>
  <c r="H204" i="12"/>
  <c r="B204" i="12"/>
  <c r="A204" i="12"/>
  <c r="H203" i="12"/>
  <c r="B203" i="12"/>
  <c r="A203" i="12"/>
  <c r="H202" i="12"/>
  <c r="B202" i="12"/>
  <c r="A202" i="12"/>
  <c r="H201" i="12"/>
  <c r="B201" i="12"/>
  <c r="A201" i="12"/>
  <c r="H200" i="12"/>
  <c r="B200" i="12"/>
  <c r="A200" i="12"/>
  <c r="H199" i="12"/>
  <c r="B199" i="12"/>
  <c r="A199" i="12"/>
  <c r="H198" i="12"/>
  <c r="B198" i="12"/>
  <c r="A198" i="12"/>
  <c r="H197" i="12"/>
  <c r="B197" i="12"/>
  <c r="A197" i="12"/>
  <c r="H196" i="12"/>
  <c r="B196" i="12"/>
  <c r="A196" i="12"/>
  <c r="H195" i="12"/>
  <c r="B195" i="12"/>
  <c r="A195" i="12"/>
  <c r="H194" i="12"/>
  <c r="B194" i="12"/>
  <c r="A194" i="12"/>
  <c r="H193" i="12"/>
  <c r="B193" i="12"/>
  <c r="A193" i="12"/>
  <c r="H192" i="12"/>
  <c r="B192" i="12"/>
  <c r="A192" i="12"/>
  <c r="H191" i="12"/>
  <c r="B191" i="12"/>
  <c r="A191" i="12"/>
  <c r="H190" i="12"/>
  <c r="B190" i="12"/>
  <c r="A190" i="12"/>
  <c r="H189" i="12"/>
  <c r="B189" i="12"/>
  <c r="A189" i="12"/>
  <c r="H188" i="12"/>
  <c r="B188" i="12"/>
  <c r="A188" i="12"/>
  <c r="H187" i="12"/>
  <c r="B187" i="12"/>
  <c r="A187" i="12"/>
  <c r="H186" i="12"/>
  <c r="B186" i="12"/>
  <c r="A186" i="12"/>
  <c r="H185" i="12"/>
  <c r="B185" i="12"/>
  <c r="A185" i="12"/>
  <c r="H184" i="12"/>
  <c r="B184" i="12"/>
  <c r="A184" i="12"/>
  <c r="H183" i="12"/>
  <c r="B183" i="12"/>
  <c r="A183" i="12"/>
  <c r="H182" i="12"/>
  <c r="B182" i="12"/>
  <c r="A182" i="12"/>
  <c r="H181" i="12"/>
  <c r="B181" i="12"/>
  <c r="A181" i="12"/>
  <c r="H180" i="12"/>
  <c r="B180" i="12"/>
  <c r="A180" i="12"/>
  <c r="H179" i="12"/>
  <c r="B179" i="12"/>
  <c r="A179" i="12"/>
  <c r="H178" i="12"/>
  <c r="B178" i="12"/>
  <c r="A178" i="12"/>
  <c r="H177" i="12"/>
  <c r="B177" i="12"/>
  <c r="A177" i="12"/>
  <c r="H176" i="12"/>
  <c r="B176" i="12"/>
  <c r="A176" i="12"/>
  <c r="H175" i="12"/>
  <c r="B175" i="12"/>
  <c r="A175" i="12"/>
  <c r="H174" i="12"/>
  <c r="B174" i="12"/>
  <c r="A174" i="12"/>
  <c r="H173" i="12"/>
  <c r="B173" i="12"/>
  <c r="A173" i="12"/>
  <c r="H172" i="12"/>
  <c r="B172" i="12"/>
  <c r="A172" i="12"/>
  <c r="H171" i="12"/>
  <c r="B171" i="12"/>
  <c r="A171" i="12"/>
  <c r="H170" i="12"/>
  <c r="B170" i="12"/>
  <c r="A170" i="12"/>
  <c r="H169" i="12"/>
  <c r="B169" i="12"/>
  <c r="A169" i="12"/>
  <c r="H168" i="12"/>
  <c r="B168" i="12"/>
  <c r="A168" i="12"/>
  <c r="H167" i="12"/>
  <c r="B167" i="12"/>
  <c r="A167" i="12"/>
  <c r="H166" i="12"/>
  <c r="B166" i="12"/>
  <c r="A166" i="12"/>
  <c r="H165" i="12"/>
  <c r="B165" i="12"/>
  <c r="A165" i="12"/>
  <c r="H164" i="12"/>
  <c r="B164" i="12"/>
  <c r="A164" i="12"/>
  <c r="H163" i="12"/>
  <c r="B163" i="12"/>
  <c r="A163" i="12"/>
  <c r="H162" i="12"/>
  <c r="B162" i="12"/>
  <c r="A162" i="12"/>
  <c r="H161" i="12"/>
  <c r="B161" i="12"/>
  <c r="A161" i="12"/>
  <c r="H160" i="12"/>
  <c r="B160" i="12"/>
  <c r="A160" i="12"/>
  <c r="H159" i="12"/>
  <c r="B159" i="12"/>
  <c r="A159" i="12"/>
  <c r="H158" i="12"/>
  <c r="B158" i="12"/>
  <c r="A158" i="12"/>
  <c r="H157" i="12"/>
  <c r="B157" i="12"/>
  <c r="A157" i="12"/>
  <c r="H156" i="12"/>
  <c r="B156" i="12"/>
  <c r="A156" i="12"/>
  <c r="H155" i="12"/>
  <c r="B155" i="12"/>
  <c r="A155" i="12"/>
  <c r="H154" i="12"/>
  <c r="B154" i="12"/>
  <c r="A154" i="12"/>
  <c r="H153" i="12"/>
  <c r="B153" i="12"/>
  <c r="A153" i="12"/>
  <c r="H152" i="12"/>
  <c r="B152" i="12"/>
  <c r="A152" i="12"/>
  <c r="H151" i="12"/>
  <c r="B151" i="12"/>
  <c r="A151" i="12"/>
  <c r="H150" i="12"/>
  <c r="B150" i="12"/>
  <c r="A150" i="12"/>
  <c r="H149" i="12"/>
  <c r="B149" i="12"/>
  <c r="A149" i="12"/>
  <c r="H148" i="12"/>
  <c r="B148" i="12"/>
  <c r="A148" i="12"/>
  <c r="H147" i="12"/>
  <c r="B147" i="12"/>
  <c r="A147" i="12"/>
  <c r="H146" i="12"/>
  <c r="B146" i="12"/>
  <c r="A146" i="12"/>
  <c r="H145" i="12"/>
  <c r="B145" i="12"/>
  <c r="A145" i="12"/>
  <c r="H144" i="12"/>
  <c r="B144" i="12"/>
  <c r="A144" i="12"/>
  <c r="H143" i="12"/>
  <c r="B143" i="12"/>
  <c r="A143" i="12"/>
  <c r="H142" i="12"/>
  <c r="B142" i="12"/>
  <c r="A142" i="12"/>
  <c r="H141" i="12"/>
  <c r="B141" i="12"/>
  <c r="A141" i="12"/>
  <c r="H140" i="12"/>
  <c r="B140" i="12"/>
  <c r="A140" i="12"/>
  <c r="H139" i="12"/>
  <c r="B139" i="12"/>
  <c r="A139" i="12"/>
  <c r="H138" i="12"/>
  <c r="B138" i="12"/>
  <c r="A138" i="12"/>
  <c r="H137" i="12"/>
  <c r="B137" i="12"/>
  <c r="A137" i="12"/>
  <c r="H136" i="12"/>
  <c r="B136" i="12"/>
  <c r="A136" i="12"/>
  <c r="H135" i="12"/>
  <c r="B135" i="12"/>
  <c r="A135" i="12"/>
  <c r="H134" i="12"/>
  <c r="B134" i="12"/>
  <c r="A134" i="12"/>
  <c r="H133" i="12"/>
  <c r="B133" i="12"/>
  <c r="A133" i="12"/>
  <c r="H132" i="12"/>
  <c r="B132" i="12"/>
  <c r="A132" i="12"/>
  <c r="H131" i="12"/>
  <c r="B131" i="12"/>
  <c r="A131" i="12"/>
  <c r="H130" i="12"/>
  <c r="B130" i="12"/>
  <c r="A130" i="12"/>
  <c r="H129" i="12"/>
  <c r="B129" i="12"/>
  <c r="A129" i="12"/>
  <c r="H128" i="12"/>
  <c r="B128" i="12"/>
  <c r="A128" i="12"/>
  <c r="H127" i="12"/>
  <c r="B127" i="12"/>
  <c r="A127" i="12"/>
  <c r="H126" i="12"/>
  <c r="B126" i="12"/>
  <c r="A126" i="12"/>
  <c r="H125" i="12"/>
  <c r="B125" i="12"/>
  <c r="A125" i="12"/>
  <c r="H124" i="12"/>
  <c r="B124" i="12"/>
  <c r="A124" i="12"/>
  <c r="H123" i="12"/>
  <c r="B123" i="12"/>
  <c r="A123" i="12"/>
  <c r="H122" i="12"/>
  <c r="B122" i="12"/>
  <c r="A122" i="12"/>
  <c r="H121" i="12"/>
  <c r="B121" i="12"/>
  <c r="A121" i="12"/>
  <c r="H120" i="12"/>
  <c r="B120" i="12"/>
  <c r="A120" i="12"/>
  <c r="H119" i="12"/>
  <c r="B119" i="12"/>
  <c r="A119" i="12"/>
  <c r="H118" i="12"/>
  <c r="B118" i="12"/>
  <c r="A118" i="12"/>
  <c r="H117" i="12"/>
  <c r="B117" i="12"/>
  <c r="A117" i="12"/>
  <c r="H116" i="12"/>
  <c r="B116" i="12"/>
  <c r="A116" i="12"/>
  <c r="H115" i="12"/>
  <c r="B115" i="12"/>
  <c r="A115" i="12"/>
  <c r="H114" i="12"/>
  <c r="B114" i="12"/>
  <c r="A114" i="12"/>
  <c r="H113" i="12"/>
  <c r="B113" i="12"/>
  <c r="A113" i="12"/>
  <c r="H112" i="12"/>
  <c r="B112" i="12"/>
  <c r="A112" i="12"/>
  <c r="H111" i="12"/>
  <c r="B111" i="12"/>
  <c r="A111" i="12"/>
  <c r="H110" i="12"/>
  <c r="B110" i="12"/>
  <c r="A110" i="12"/>
  <c r="H109" i="12"/>
  <c r="B109" i="12"/>
  <c r="A109" i="12"/>
  <c r="H108" i="12"/>
  <c r="B108" i="12"/>
  <c r="A108" i="12"/>
  <c r="H107" i="12"/>
  <c r="B107" i="12"/>
  <c r="A107" i="12"/>
  <c r="H106" i="12"/>
  <c r="B106" i="12"/>
  <c r="A106" i="12"/>
  <c r="H105" i="12"/>
  <c r="B105" i="12"/>
  <c r="A105" i="12"/>
  <c r="H104" i="12"/>
  <c r="B104" i="12"/>
  <c r="A104" i="12"/>
  <c r="H103" i="12"/>
  <c r="B103" i="12"/>
  <c r="A103" i="12"/>
  <c r="H102" i="12"/>
  <c r="B102" i="12"/>
  <c r="A102" i="12"/>
  <c r="H101" i="12"/>
  <c r="B101" i="12"/>
  <c r="A101" i="12"/>
  <c r="H100" i="12"/>
  <c r="B100" i="12"/>
  <c r="A100" i="12"/>
  <c r="H99" i="12"/>
  <c r="B99" i="12"/>
  <c r="A99" i="12"/>
  <c r="H98" i="12"/>
  <c r="B98" i="12"/>
  <c r="A98" i="12"/>
  <c r="H97" i="12"/>
  <c r="B97" i="12"/>
  <c r="A97" i="12"/>
  <c r="H96" i="12"/>
  <c r="B96" i="12"/>
  <c r="A96" i="12"/>
  <c r="H95" i="12"/>
  <c r="B95" i="12"/>
  <c r="A95" i="12"/>
  <c r="H94" i="12"/>
  <c r="B94" i="12"/>
  <c r="A94" i="12"/>
  <c r="H93" i="12"/>
  <c r="B93" i="12"/>
  <c r="A93" i="12"/>
  <c r="H92" i="12"/>
  <c r="B92" i="12"/>
  <c r="A92" i="12"/>
  <c r="H91" i="12"/>
  <c r="B91" i="12"/>
  <c r="A91" i="12"/>
  <c r="H90" i="12"/>
  <c r="B90" i="12"/>
  <c r="A90" i="12"/>
  <c r="H89" i="12"/>
  <c r="B89" i="12"/>
  <c r="A89" i="12"/>
  <c r="H88" i="12"/>
  <c r="B88" i="12"/>
  <c r="A88" i="12"/>
  <c r="H87" i="12"/>
  <c r="B87" i="12"/>
  <c r="A87" i="12"/>
  <c r="H86" i="12"/>
  <c r="B86" i="12"/>
  <c r="A86" i="12"/>
  <c r="H85" i="12"/>
  <c r="B85" i="12"/>
  <c r="A85" i="12"/>
  <c r="H84" i="12"/>
  <c r="B84" i="12"/>
  <c r="A84" i="12"/>
  <c r="H83" i="12"/>
  <c r="B83" i="12"/>
  <c r="A83" i="12"/>
  <c r="H82" i="12"/>
  <c r="B82" i="12"/>
  <c r="A82" i="12"/>
  <c r="H81" i="12"/>
  <c r="B81" i="12"/>
  <c r="A81" i="12"/>
  <c r="H80" i="12"/>
  <c r="B80" i="12"/>
  <c r="A80" i="12"/>
  <c r="H79" i="12"/>
  <c r="B79" i="12"/>
  <c r="A79" i="12"/>
  <c r="H78" i="12"/>
  <c r="B78" i="12"/>
  <c r="A78" i="12"/>
  <c r="H77" i="12"/>
  <c r="B77" i="12"/>
  <c r="A77" i="12"/>
  <c r="H76" i="12"/>
  <c r="B76" i="12"/>
  <c r="A76" i="12"/>
  <c r="H75" i="12"/>
  <c r="B75" i="12"/>
  <c r="A75" i="12"/>
  <c r="H74" i="12"/>
  <c r="B74" i="12"/>
  <c r="A74" i="12"/>
  <c r="H73" i="12"/>
  <c r="B73" i="12"/>
  <c r="A73" i="12"/>
  <c r="H72" i="12"/>
  <c r="B72" i="12"/>
  <c r="A72" i="12"/>
  <c r="H71" i="12"/>
  <c r="B71" i="12"/>
  <c r="A71" i="12"/>
  <c r="H70" i="12"/>
  <c r="B70" i="12"/>
  <c r="A70" i="12"/>
  <c r="H69" i="12"/>
  <c r="B69" i="12"/>
  <c r="A69" i="12"/>
  <c r="H68" i="12"/>
  <c r="B68" i="12"/>
  <c r="A68" i="12"/>
  <c r="H67" i="12"/>
  <c r="B67" i="12"/>
  <c r="A67" i="12"/>
  <c r="H66" i="12"/>
  <c r="B66" i="12"/>
  <c r="A66" i="12"/>
  <c r="H65" i="12"/>
  <c r="B65" i="12"/>
  <c r="A65" i="12"/>
  <c r="H64" i="12"/>
  <c r="B64" i="12"/>
  <c r="A64" i="12"/>
  <c r="H63" i="12"/>
  <c r="B63" i="12"/>
  <c r="A63" i="12"/>
  <c r="H62" i="12"/>
  <c r="B62" i="12"/>
  <c r="A62" i="12"/>
  <c r="H61" i="12"/>
  <c r="B61" i="12"/>
  <c r="A61" i="12"/>
  <c r="H60" i="12"/>
  <c r="B60" i="12"/>
  <c r="A60" i="12"/>
  <c r="H59" i="12"/>
  <c r="B59" i="12"/>
  <c r="A59" i="12"/>
  <c r="H58" i="12"/>
  <c r="B58" i="12"/>
  <c r="A58" i="12"/>
  <c r="H57" i="12"/>
  <c r="B57" i="12"/>
  <c r="A57" i="12"/>
  <c r="H56" i="12"/>
  <c r="B56" i="12"/>
  <c r="A56" i="12"/>
  <c r="H55" i="12"/>
  <c r="B55" i="12"/>
  <c r="A55" i="12"/>
  <c r="H54" i="12"/>
  <c r="B54" i="12"/>
  <c r="A54" i="12"/>
  <c r="H53" i="12"/>
  <c r="B53" i="12"/>
  <c r="A53" i="12"/>
  <c r="H52" i="12"/>
  <c r="B52" i="12"/>
  <c r="A52" i="12"/>
  <c r="H51" i="12"/>
  <c r="B51" i="12"/>
  <c r="A51" i="12"/>
  <c r="H50" i="12"/>
  <c r="B50" i="12"/>
  <c r="A50" i="12"/>
  <c r="H49" i="12"/>
  <c r="B49" i="12"/>
  <c r="A49" i="12"/>
  <c r="H48" i="12"/>
  <c r="B48" i="12"/>
  <c r="A48" i="12"/>
  <c r="H47" i="12"/>
  <c r="B47" i="12"/>
  <c r="A47" i="12"/>
  <c r="H46" i="12"/>
  <c r="B46" i="12"/>
  <c r="A46" i="12"/>
  <c r="H45" i="12"/>
  <c r="B45" i="12"/>
  <c r="A45" i="12"/>
  <c r="H44" i="12"/>
  <c r="B44" i="12"/>
  <c r="A44" i="12"/>
  <c r="H43" i="12"/>
  <c r="B43" i="12"/>
  <c r="A43" i="12"/>
  <c r="H42" i="12"/>
  <c r="B42" i="12"/>
  <c r="A42" i="12"/>
  <c r="H41" i="12"/>
  <c r="B41" i="12"/>
  <c r="A41" i="12"/>
  <c r="H40" i="12"/>
  <c r="B40" i="12"/>
  <c r="A40" i="12"/>
  <c r="H39" i="12"/>
  <c r="B39" i="12"/>
  <c r="A39" i="12"/>
  <c r="H38" i="12"/>
  <c r="B38" i="12"/>
  <c r="A38" i="12"/>
  <c r="H37" i="12"/>
  <c r="B37" i="12"/>
  <c r="A37" i="12"/>
  <c r="H36" i="12"/>
  <c r="B36" i="12"/>
  <c r="A36" i="12"/>
  <c r="H35" i="12"/>
  <c r="B35" i="12"/>
  <c r="A35" i="12"/>
  <c r="H34" i="12"/>
  <c r="B34" i="12"/>
  <c r="A34" i="12"/>
  <c r="H33" i="12"/>
  <c r="B33" i="12"/>
  <c r="A33" i="12"/>
  <c r="H32" i="12"/>
  <c r="B32" i="12"/>
  <c r="A32" i="12"/>
  <c r="H31" i="12"/>
  <c r="B31" i="12"/>
  <c r="A31" i="12"/>
  <c r="H30" i="12"/>
  <c r="B30" i="12"/>
  <c r="A30" i="12"/>
  <c r="H29" i="12"/>
  <c r="B29" i="12"/>
  <c r="A29" i="12"/>
  <c r="H28" i="12"/>
  <c r="B28" i="12"/>
  <c r="A28" i="12"/>
  <c r="H27" i="12"/>
  <c r="B27" i="12"/>
  <c r="A27" i="12"/>
  <c r="H26" i="12"/>
  <c r="B26" i="12"/>
  <c r="A26" i="12"/>
  <c r="H25" i="12"/>
  <c r="B25" i="12"/>
  <c r="A25" i="12"/>
  <c r="H24" i="12"/>
  <c r="B24" i="12"/>
  <c r="A24" i="12"/>
  <c r="H23" i="12"/>
  <c r="B23" i="12"/>
  <c r="A23" i="12"/>
  <c r="H22" i="12"/>
  <c r="B22" i="12"/>
  <c r="A22" i="12"/>
  <c r="H21" i="12"/>
  <c r="B21" i="12"/>
  <c r="A21" i="12"/>
  <c r="H20" i="12"/>
  <c r="B20" i="12"/>
  <c r="A20" i="12"/>
  <c r="H19" i="12"/>
  <c r="B19" i="12"/>
  <c r="A19" i="12"/>
  <c r="H18" i="12"/>
  <c r="B18" i="12"/>
  <c r="A18" i="12"/>
  <c r="H17" i="12"/>
  <c r="B17" i="12"/>
  <c r="A17" i="12"/>
  <c r="H16" i="12"/>
  <c r="B16" i="12"/>
  <c r="A16" i="12"/>
  <c r="H15" i="12"/>
  <c r="B15" i="12"/>
  <c r="A15" i="12"/>
  <c r="H14" i="12"/>
  <c r="B14" i="12"/>
  <c r="A14" i="12"/>
  <c r="H13" i="12"/>
  <c r="B13" i="12"/>
  <c r="A13" i="12"/>
  <c r="H12" i="12"/>
  <c r="B12" i="12"/>
  <c r="A12" i="12"/>
  <c r="H11" i="12"/>
  <c r="B11" i="12"/>
  <c r="A11" i="12"/>
  <c r="H10" i="12"/>
  <c r="B10" i="12"/>
  <c r="A10" i="12"/>
  <c r="H9" i="12"/>
  <c r="B9" i="12"/>
  <c r="A9" i="12"/>
  <c r="H8" i="12"/>
  <c r="B8" i="12"/>
  <c r="A8" i="12"/>
  <c r="H7" i="12"/>
  <c r="B7" i="12"/>
  <c r="A7" i="12"/>
  <c r="H6" i="12"/>
  <c r="B6" i="12"/>
  <c r="A6" i="12"/>
  <c r="H5" i="12"/>
  <c r="B5" i="12"/>
  <c r="A5" i="12"/>
  <c r="H4" i="12"/>
  <c r="B4" i="12"/>
  <c r="A4" i="12"/>
  <c r="E20" i="11"/>
  <c r="D20" i="11"/>
  <c r="B20" i="11"/>
  <c r="A20" i="11"/>
  <c r="E19" i="11"/>
  <c r="D19" i="11"/>
  <c r="B19" i="11"/>
  <c r="A19" i="11"/>
  <c r="E18" i="11"/>
  <c r="D18" i="11"/>
  <c r="B18" i="11"/>
  <c r="A18" i="11"/>
  <c r="E17" i="11"/>
  <c r="B17" i="11"/>
  <c r="A17" i="11"/>
  <c r="E16" i="11"/>
  <c r="B16" i="11"/>
  <c r="A16" i="11"/>
  <c r="A15" i="11"/>
  <c r="E14" i="11"/>
  <c r="B14" i="11"/>
  <c r="A14" i="11"/>
  <c r="A9" i="11"/>
  <c r="B10" i="13" s="1"/>
  <c r="A8" i="11"/>
  <c r="B9" i="13" s="1"/>
  <c r="A7" i="11"/>
  <c r="B8" i="13" s="1"/>
  <c r="A6" i="11"/>
  <c r="B7" i="13" s="1"/>
  <c r="B3" i="11"/>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F3" i="10"/>
  <c r="E3" i="10"/>
  <c r="D3" i="10"/>
  <c r="C3" i="10"/>
  <c r="B93" i="9"/>
  <c r="A93" i="9"/>
  <c r="B92" i="9"/>
  <c r="A92" i="9"/>
  <c r="B91" i="9"/>
  <c r="A91" i="9"/>
  <c r="B90" i="9"/>
  <c r="A90" i="9"/>
  <c r="B89" i="9"/>
  <c r="A89" i="9"/>
  <c r="B88" i="9"/>
  <c r="A88" i="9"/>
  <c r="B87" i="9"/>
  <c r="A87" i="9"/>
  <c r="B86" i="9"/>
  <c r="A86" i="9"/>
  <c r="B85" i="9"/>
  <c r="A85" i="9"/>
  <c r="B84" i="9"/>
  <c r="A84" i="9"/>
  <c r="B83" i="9"/>
  <c r="A83" i="9"/>
  <c r="B82" i="9"/>
  <c r="A82" i="9"/>
  <c r="B81" i="9"/>
  <c r="A81" i="9"/>
  <c r="B80" i="9"/>
  <c r="A80" i="9"/>
  <c r="B79" i="9"/>
  <c r="A79" i="9"/>
  <c r="B78" i="9"/>
  <c r="A78" i="9"/>
  <c r="B77" i="9"/>
  <c r="A77" i="9"/>
  <c r="B76" i="9"/>
  <c r="A76" i="9"/>
  <c r="B75" i="9"/>
  <c r="A75" i="9"/>
  <c r="B74" i="9"/>
  <c r="A74" i="9"/>
  <c r="B73" i="9"/>
  <c r="A73" i="9"/>
  <c r="B72" i="9"/>
  <c r="A72" i="9"/>
  <c r="B71" i="9"/>
  <c r="A71" i="9"/>
  <c r="B70" i="9"/>
  <c r="A70" i="9"/>
  <c r="B69" i="9"/>
  <c r="A69" i="9"/>
  <c r="B68" i="9"/>
  <c r="A68" i="9"/>
  <c r="B67" i="9"/>
  <c r="A67" i="9"/>
  <c r="B66" i="9"/>
  <c r="A66" i="9"/>
  <c r="B65" i="9"/>
  <c r="A65" i="9"/>
  <c r="B64" i="9"/>
  <c r="A64" i="9"/>
  <c r="B63" i="9"/>
  <c r="A63" i="9"/>
  <c r="B62" i="9"/>
  <c r="A62" i="9"/>
  <c r="B61" i="9"/>
  <c r="A61" i="9"/>
  <c r="B60" i="9"/>
  <c r="A60" i="9"/>
  <c r="B59" i="9"/>
  <c r="A59" i="9"/>
  <c r="B58" i="9"/>
  <c r="A58" i="9"/>
  <c r="B57" i="9"/>
  <c r="A57" i="9"/>
  <c r="B56" i="9"/>
  <c r="A56" i="9"/>
  <c r="B55" i="9"/>
  <c r="A55" i="9"/>
  <c r="B54" i="9"/>
  <c r="A54" i="9"/>
  <c r="B53" i="9"/>
  <c r="A53" i="9"/>
  <c r="B52" i="9"/>
  <c r="A52" i="9"/>
  <c r="B51" i="9"/>
  <c r="A51" i="9"/>
  <c r="B50" i="9"/>
  <c r="A50" i="9"/>
  <c r="B49" i="9"/>
  <c r="A49" i="9"/>
  <c r="B48" i="9"/>
  <c r="A48" i="9"/>
  <c r="B47" i="9"/>
  <c r="A47" i="9"/>
  <c r="B46" i="9"/>
  <c r="A46" i="9"/>
  <c r="B45" i="9"/>
  <c r="A45" i="9"/>
  <c r="B44" i="9"/>
  <c r="A44" i="9"/>
  <c r="B43" i="9"/>
  <c r="A43" i="9"/>
  <c r="B42" i="9"/>
  <c r="A42" i="9"/>
  <c r="B41" i="9"/>
  <c r="A41" i="9"/>
  <c r="B40" i="9"/>
  <c r="A40" i="9"/>
  <c r="B39" i="9"/>
  <c r="A39" i="9"/>
  <c r="B38" i="9"/>
  <c r="A38" i="9"/>
  <c r="B37" i="9"/>
  <c r="A37" i="9"/>
  <c r="B36" i="9"/>
  <c r="A36" i="9"/>
  <c r="B35" i="9"/>
  <c r="A35" i="9"/>
  <c r="B34" i="9"/>
  <c r="A34" i="9"/>
  <c r="B33" i="9"/>
  <c r="A33" i="9"/>
  <c r="B32" i="9"/>
  <c r="A32" i="9"/>
  <c r="B31" i="9"/>
  <c r="A31" i="9"/>
  <c r="B30" i="9"/>
  <c r="A30" i="9"/>
  <c r="B29" i="9"/>
  <c r="A29" i="9"/>
  <c r="B28" i="9"/>
  <c r="A28" i="9"/>
  <c r="B27" i="9"/>
  <c r="A27" i="9"/>
  <c r="B26" i="9"/>
  <c r="A26" i="9"/>
  <c r="G20" i="9"/>
  <c r="G93" i="9" s="1"/>
  <c r="F20" i="9"/>
  <c r="G76" i="9" s="1"/>
  <c r="E20" i="9"/>
  <c r="G59" i="9" s="1"/>
  <c r="D20" i="9"/>
  <c r="G42" i="9" s="1"/>
  <c r="G19" i="9"/>
  <c r="G92" i="9" s="1"/>
  <c r="F19" i="9"/>
  <c r="G75" i="9" s="1"/>
  <c r="E19" i="9"/>
  <c r="G58" i="9" s="1"/>
  <c r="D19" i="9"/>
  <c r="G41" i="9" s="1"/>
  <c r="G18" i="9"/>
  <c r="G91" i="9" s="1"/>
  <c r="F18" i="9"/>
  <c r="G74" i="9" s="1"/>
  <c r="E18" i="9"/>
  <c r="G57" i="9" s="1"/>
  <c r="D18" i="9"/>
  <c r="G40" i="9" s="1"/>
  <c r="G17" i="9"/>
  <c r="G90" i="9" s="1"/>
  <c r="F17" i="9"/>
  <c r="G73" i="9" s="1"/>
  <c r="E17" i="9"/>
  <c r="G56" i="9" s="1"/>
  <c r="D17" i="9"/>
  <c r="G39" i="9" s="1"/>
  <c r="G16" i="9"/>
  <c r="G89" i="9" s="1"/>
  <c r="F16" i="9"/>
  <c r="G72" i="9" s="1"/>
  <c r="E16" i="9"/>
  <c r="D16" i="9"/>
  <c r="G38" i="9" s="1"/>
  <c r="G15" i="9"/>
  <c r="G88" i="9" s="1"/>
  <c r="F15" i="9"/>
  <c r="G71" i="9" s="1"/>
  <c r="E15" i="9"/>
  <c r="G54" i="9" s="1"/>
  <c r="D15" i="9"/>
  <c r="G37" i="9" s="1"/>
  <c r="G14" i="9"/>
  <c r="G87" i="9" s="1"/>
  <c r="F14" i="9"/>
  <c r="G70" i="9" s="1"/>
  <c r="E14" i="9"/>
  <c r="G53" i="9" s="1"/>
  <c r="D14" i="9"/>
  <c r="G36" i="9" s="1"/>
  <c r="G13" i="9"/>
  <c r="G86" i="9" s="1"/>
  <c r="F13" i="9"/>
  <c r="E13" i="9"/>
  <c r="G52" i="9" s="1"/>
  <c r="D13" i="9"/>
  <c r="G35" i="9" s="1"/>
  <c r="G12" i="9"/>
  <c r="G85" i="9" s="1"/>
  <c r="F12" i="9"/>
  <c r="G68" i="9" s="1"/>
  <c r="E12" i="9"/>
  <c r="G51" i="9" s="1"/>
  <c r="D12" i="9"/>
  <c r="G34" i="9" s="1"/>
  <c r="G11" i="9"/>
  <c r="G84" i="9" s="1"/>
  <c r="F11" i="9"/>
  <c r="G67" i="9" s="1"/>
  <c r="E11" i="9"/>
  <c r="G50" i="9" s="1"/>
  <c r="D11" i="9"/>
  <c r="G33" i="9" s="1"/>
  <c r="G10" i="9"/>
  <c r="G83" i="9" s="1"/>
  <c r="F10" i="9"/>
  <c r="G66" i="9" s="1"/>
  <c r="E10" i="9"/>
  <c r="G49" i="9" s="1"/>
  <c r="D10" i="9"/>
  <c r="G9" i="9"/>
  <c r="F9" i="9"/>
  <c r="G65" i="9" s="1"/>
  <c r="E9" i="9"/>
  <c r="D9" i="9"/>
  <c r="G31" i="9" s="1"/>
  <c r="G8" i="9"/>
  <c r="G81" i="9" s="1"/>
  <c r="F8" i="9"/>
  <c r="G64" i="9" s="1"/>
  <c r="E8" i="9"/>
  <c r="G47" i="9" s="1"/>
  <c r="D8" i="9"/>
  <c r="G30" i="9" s="1"/>
  <c r="G7" i="9"/>
  <c r="G80" i="9" s="1"/>
  <c r="F7" i="9"/>
  <c r="G63" i="9" s="1"/>
  <c r="E7" i="9"/>
  <c r="G46" i="9" s="1"/>
  <c r="D7" i="9"/>
  <c r="G29" i="9" s="1"/>
  <c r="G6" i="9"/>
  <c r="G79" i="9" s="1"/>
  <c r="F6" i="9"/>
  <c r="E6" i="9"/>
  <c r="G45" i="9" s="1"/>
  <c r="D6" i="9"/>
  <c r="G28" i="9" s="1"/>
  <c r="G5" i="9"/>
  <c r="G78" i="9" s="1"/>
  <c r="F5" i="9"/>
  <c r="G61" i="9" s="1"/>
  <c r="E5" i="9"/>
  <c r="G44" i="9" s="1"/>
  <c r="D5" i="9"/>
  <c r="G27" i="9" s="1"/>
  <c r="G4" i="9"/>
  <c r="G77" i="9" s="1"/>
  <c r="F4" i="9"/>
  <c r="G60" i="9" s="1"/>
  <c r="E4" i="9"/>
  <c r="D4" i="9"/>
  <c r="G26" i="9" s="1"/>
  <c r="G3" i="9"/>
  <c r="F3" i="9"/>
  <c r="E3" i="9"/>
  <c r="D3" i="9"/>
  <c r="I6" i="8"/>
  <c r="I4" i="8"/>
  <c r="I5" i="8" s="1"/>
  <c r="A2" i="8"/>
  <c r="A1" i="8"/>
  <c r="I6" i="7"/>
  <c r="I4" i="7"/>
  <c r="I5" i="7" s="1"/>
  <c r="A2" i="7"/>
  <c r="A1" i="7"/>
  <c r="I6" i="6"/>
  <c r="I4" i="6"/>
  <c r="I5" i="6" s="1"/>
  <c r="A2" i="6"/>
  <c r="A1" i="6"/>
  <c r="I6" i="5"/>
  <c r="I4" i="5"/>
  <c r="I5" i="5" s="1"/>
  <c r="A2" i="5"/>
  <c r="A1" i="5"/>
  <c r="D5" i="10" l="1"/>
  <c r="D7" i="11" s="1"/>
  <c r="E5" i="10"/>
  <c r="D8" i="11" s="1"/>
  <c r="D7" i="10"/>
  <c r="C18" i="13" s="1"/>
  <c r="C15" i="13"/>
  <c r="F6" i="10"/>
  <c r="E17" i="13" s="1"/>
  <c r="F5" i="10"/>
  <c r="E16" i="13" s="1"/>
  <c r="E4" i="10"/>
  <c r="D15" i="13" s="1"/>
  <c r="C5" i="10"/>
  <c r="B16" i="13" s="1"/>
  <c r="E6" i="10"/>
  <c r="E8" i="11" s="1"/>
  <c r="C7" i="10"/>
  <c r="B18" i="13" s="1"/>
  <c r="G43" i="9"/>
  <c r="G32" i="9"/>
  <c r="C6" i="10"/>
  <c r="E6" i="11" s="1"/>
  <c r="D6" i="10"/>
  <c r="G48" i="9"/>
  <c r="G62" i="9"/>
  <c r="C4" i="10"/>
  <c r="E7" i="10"/>
  <c r="F7" i="10"/>
  <c r="F4" i="10"/>
  <c r="G82" i="9"/>
  <c r="G55" i="9"/>
  <c r="G69" i="9"/>
  <c r="E18" i="10" l="1"/>
  <c r="C16" i="13"/>
  <c r="E9" i="11"/>
  <c r="D16" i="13"/>
  <c r="E22" i="10"/>
  <c r="E17" i="10"/>
  <c r="E27" i="10"/>
  <c r="C7" i="11"/>
  <c r="D6" i="11"/>
  <c r="E20" i="10"/>
  <c r="E14" i="10"/>
  <c r="E16" i="10"/>
  <c r="E21" i="10"/>
  <c r="F7" i="11"/>
  <c r="E26" i="10"/>
  <c r="C8" i="11"/>
  <c r="B8" i="11" s="1"/>
  <c r="D9" i="11"/>
  <c r="F6" i="11"/>
  <c r="D17" i="13"/>
  <c r="B17" i="13"/>
  <c r="E23" i="10"/>
  <c r="E7" i="11"/>
  <c r="E19" i="10"/>
  <c r="E15" i="10"/>
  <c r="C17" i="13"/>
  <c r="E18" i="13"/>
  <c r="E28" i="10"/>
  <c r="F9" i="11"/>
  <c r="F8" i="11"/>
  <c r="D18" i="13"/>
  <c r="E24" i="10"/>
  <c r="B15" i="13"/>
  <c r="E13" i="10"/>
  <c r="C6" i="11"/>
  <c r="E15" i="13"/>
  <c r="E25" i="10"/>
  <c r="C9" i="11"/>
  <c r="B7" i="11" l="1"/>
  <c r="C8" i="13" s="1"/>
  <c r="B6" i="11"/>
  <c r="C7" i="13" s="1"/>
  <c r="B9" i="11"/>
  <c r="D17" i="11" s="1"/>
  <c r="D16" i="11"/>
  <c r="C9" i="13"/>
  <c r="D8" i="13" l="1"/>
  <c r="D14" i="11"/>
  <c r="D9" i="13"/>
  <c r="C10" i="13"/>
  <c r="D10" i="13" s="1"/>
</calcChain>
</file>

<file path=xl/sharedStrings.xml><?xml version="1.0" encoding="utf-8"?>
<sst xmlns="http://schemas.openxmlformats.org/spreadsheetml/2006/main" count="6241" uniqueCount="1109">
  <si>
    <t>CXO Digital Health Snapshot — Monthly Template</t>
  </si>
  <si>
    <t>Read this entire tab before running your first snapshot. ~10 minutes.</t>
  </si>
  <si>
    <t>30-SECOND OVERVIEW</t>
  </si>
  <si>
    <t>This workbook captures one monthly digital-health snapshot for one client (Sample) and up to 6 named competitors. You score each brand against a fixed set of metrics; the workbook computes sub-dimension, dimension, and composite scores. Each month you save-as a new copy, score it, then append the computed values to the Trend tabs at the bottom of the file. The Trend tabs accumulate over time as your time-series history.</t>
  </si>
  <si>
    <t>This file is internal-only — backend computation feeding into client-facing reports. Empty competitor slots are fine (just leave the brand name blank in Snapshot Setup); the math gracefully handles 1, 2, 3, or up to 6 competitors.</t>
  </si>
  <si>
    <t>STRUCTURE</t>
  </si>
  <si>
    <t>20 tabs total:</t>
  </si>
  <si>
    <t>1. Setup &amp; reference (read-mostly)</t>
  </si>
  <si>
    <t xml:space="preserve">    • README &amp; Workflow — this tab</t>
  </si>
  <si>
    <t xml:space="preserve">    • Snapshot Setup — date, brand names, industry profile (the only setup edits)</t>
  </si>
  <si>
    <t xml:space="preserve">    • Metric Reference — read-only registry of all 68 metrics</t>
  </si>
  <si>
    <t>2. Score Input (fill monthly)</t>
  </si>
  <si>
    <t xml:space="preserve">    • Score — Sample — score the client (all 68 metrics)</t>
  </si>
  <si>
    <t xml:space="preserve">    • Score — Comp 1 through Comp 6 — score each competitor (55 public metrics each; 13 NSC-only metrics blocked)</t>
  </si>
  <si>
    <t>3. Computed (auto-populated, do not edit)</t>
  </si>
  <si>
    <t xml:space="preserve">    • Computed — Sub-Dim Scores — 17 sub-dim × 7 brand grid</t>
  </si>
  <si>
    <t xml:space="preserve">    • Computed — Dim Scores — 4 dim × 7 brand grid</t>
  </si>
  <si>
    <t xml:space="preserve">    • Computed — Composites — composite per brand</t>
  </si>
  <si>
    <t xml:space="preserve">    • Computed — Metric Long — full metric-level output for Trend Metric (Long) append</t>
  </si>
  <si>
    <t xml:space="preserve">    • Snapshot Output — single-glance leaderboard, dim comparison, Sample's pillar scores</t>
  </si>
  <si>
    <t>4. Trend (append-only history)</t>
  </si>
  <si>
    <t xml:space="preserve">    • Trend — Composite (Long) — up to 7 rows per snapshot</t>
  </si>
  <si>
    <t xml:space="preserve">    • Trend — Dim (Long) — up to 28 rows per snapshot</t>
  </si>
  <si>
    <t xml:space="preserve">    • Trend — Sub-Dim (Long) — up to 119 rows per snapshot</t>
  </si>
  <si>
    <t xml:space="preserve">    • Trend — Metric (Long) — up to 398 rows per snapshot</t>
  </si>
  <si>
    <t>MONTHLY WORKFLOW (target: 1–2 hours per cycle)</t>
  </si>
  <si>
    <t>STEP 1 — File setup (Snapshot Owner, 2 minutes)</t>
  </si>
  <si>
    <t>a) Open last month's snapshot file from your shared drive.</t>
  </si>
  <si>
    <t>b) File → Save As. Name: CXO_Snapshot_YYYY-MM.xlsx (e.g. CXO_Snapshot_2026-06.xlsx).</t>
  </si>
  <si>
    <t>c) Open the new file. Previous month's file stays untouched as your audit record.</t>
  </si>
  <si>
    <t>STEP 2 — Snapshot Setup (Snapshot Owner, 1 minute)</t>
  </si>
  <si>
    <t>Open the Snapshot Setup tab and update:</t>
  </si>
  <si>
    <t xml:space="preserve">    • B4 — Snapshot Date: pick the first day of this month (e.g. 2026-06-01). Displays as 'Jun 2026'.</t>
  </si>
  <si>
    <t xml:space="preserve">    • B5 — Industry Profile: usually unchanged. Change only on methodology decision.</t>
  </si>
  <si>
    <t xml:space="preserve">    • B6 — Sample brand name (the client).</t>
  </si>
  <si>
    <t xml:space="preserve">    • B7-B12 — Competitor brand names. Leave blank if you're using fewer than 6 comps; that's fully supported.</t>
  </si>
  <si>
    <t xml:space="preserve">    • B13 — Snapshot Owner: your name.</t>
  </si>
  <si>
    <t xml:space="preserve">    • B14 — Notes / Context: anything noteworthy about this snapshot.</t>
  </si>
  <si>
    <t>STEP 3 — Score Sample (Scorer-Sample, 30–60 minutes)</t>
  </si>
  <si>
    <t>Open Score — Sample. Each row is one metric. The Score column (E) is cream-colored — that's your input.</t>
  </si>
  <si>
    <t>a) Reference Metric Reference for primary tool + scoring logic per metric.</t>
  </si>
  <si>
    <t>b) Enter scores 0–100. Excel rejects out-of-range or non-numeric values.</t>
  </si>
  <si>
    <t>c) Leave a cell blank if you don't have a score this month. Blank ≠ zero.</t>
  </si>
  <si>
    <t>d) Use the Notes column for sources, caveats, change-from-last-month flags.</t>
  </si>
  <si>
    <t>e) Snapshot Status sidecar at H/I shows: Scoreable (always 68), Scored, % Complete, Out-of-range (should be 0).</t>
  </si>
  <si>
    <t>STEP 4 — Score Competitors (Scorer-Competitors, 60–90 minutes total for 3 comps)</t>
  </si>
  <si>
    <t>Open each used Comp tab in turn. 6 comp tabs exist — only fill the ones you're using this snapshot.</t>
  </si>
  <si>
    <t>Comp tabs allow scoring on the 55 public metrics only; 13 NSC-only metrics are pre-filled with 'n/a' and grey-shaded.</t>
  </si>
  <si>
    <t>Same input rules as Sample. Aim for ≥80% completion per comp before moving on.</t>
  </si>
  <si>
    <t>STEP 5 — Sanity-check (Reviewer, 5 minutes)</t>
  </si>
  <si>
    <t>Open the Computed tabs and verify:</t>
  </si>
  <si>
    <t xml:space="preserve">    • Sub-Dim Scores: heatmap shows weak/strong sub-dims at a glance.</t>
  </si>
  <si>
    <t xml:space="preserve">    • Dim Scores: weighted average of sub-dims.</t>
  </si>
  <si>
    <t xml:space="preserve">    • Composites: per-brand composite using active industry profile.</t>
  </si>
  <si>
    <t xml:space="preserve">    • Snapshot Output: leaderboard + dim comparison + Sample pillar scores.</t>
  </si>
  <si>
    <t>Red flags:</t>
  </si>
  <si>
    <t xml:space="preserve">    • Composite moved &gt;5 points from last month without clear cause → likely data error.</t>
  </si>
  <si>
    <t xml:space="preserve">    • Sub-dim score of 0 or 100 → check completeness of constituent metrics.</t>
  </si>
  <si>
    <t xml:space="preserve">    • Blank where you expect a number → all constituent inputs were blank.</t>
  </si>
  <si>
    <t>STEP 6 — Append to Trend (Snapshot Owner, 5 minutes)</t>
  </si>
  <si>
    <t>This is the only step with manual copy/paste. Do it carefully.</t>
  </si>
  <si>
    <t>For EACH of the four Computed tabs that has a 'Paste Block' banner:</t>
  </si>
  <si>
    <t>a) Scroll to the gold-fill banner: '📋 PASTE BLOCK BELOW INTO TREND → ...'</t>
  </si>
  <si>
    <t>b) Below the banner is a column-header row, then the data rows.</t>
  </si>
  <si>
    <t>c) Select ONLY the data rows (not the column header — those already exist in the Trend tab).</t>
  </si>
  <si>
    <t>d) Copy (Ctrl+C / Cmd+C).</t>
  </si>
  <si>
    <t>e) Open the matching Trend tab from the banner.</t>
  </si>
  <si>
    <t>f) Click column A in the first empty row (use Ctrl+Down then ↓ to find it).</t>
  </si>
  <si>
    <t>g) Paste-Special-as-Values (Ctrl+Shift+V → Values / Cmd+Ctrl+V on Mac → Values). NEVER plain paste.</t>
  </si>
  <si>
    <t>h) Verify the Trend Status sidecar updated — 'Distinct snapshots' should increment by 1, 'Latest' should show this month.</t>
  </si>
  <si>
    <t>Source-to-destination map:</t>
  </si>
  <si>
    <t xml:space="preserve">    • Computed — Sub-Dim Scores  → Trend — Sub-Dim (Long)   (up to 119 rows)</t>
  </si>
  <si>
    <t xml:space="preserve">    • Computed — Dim Scores     → Trend — Dim (Long)        (up to 28 rows)</t>
  </si>
  <si>
    <t xml:space="preserve">    • Computed — Composites     → Trend — Composite (Long)  (up to 7 rows)</t>
  </si>
  <si>
    <t xml:space="preserve">    • Computed — Metric Long    → Trend — Metric (Long)     (up to 398 rows)</t>
  </si>
  <si>
    <t>If you're using fewer than 6 comps: the long-format blocks always include 7 rows per brand level (one row for every comp slot, even empty ones). Empty-slot rows paste into Trend as ghost rows — rows with valid date, blank brand name, and blank score. They are harmless data residue, not errors. Past snapshots stay valid; queries that join brand-to-score will simply skip them. See 'GHOST ROWS IN TREND' in the Common Situations section below for full handling.</t>
  </si>
  <si>
    <t>STEP 7 — Save &amp; archive (Snapshot Owner, 1 minute)</t>
  </si>
  <si>
    <t>a) Save (Ctrl+S).</t>
  </si>
  <si>
    <t>b) Place file in shared snapshot archive folder.</t>
  </si>
  <si>
    <t>c) Update tracking sheet/dashboard if you have one.</t>
  </si>
  <si>
    <t>d) Notify team via Slack/email.</t>
  </si>
  <si>
    <t>COMMON SITUATIONS</t>
  </si>
  <si>
    <t>Borderline / hard-to-assess scores</t>
  </si>
  <si>
    <t>Use the Notes column to document reasoning. If teammates disagree, default conservative and note both opinions. Consistency month-over-month matters more than precision in any one snapshot.</t>
  </si>
  <si>
    <t>Partial snapshot (only some metrics scored)</t>
  </si>
  <si>
    <t>Fine. Leave unmeasured cells blank — never enter zero. Aim for ≥80% completion. Note in Snapshot Setup B11 if a snapshot is partial.</t>
  </si>
  <si>
    <t>Swapping a competitor name</t>
  </si>
  <si>
    <t>Just edit the brand name in Snapshot Setup B7-B12. All headers and formulas read brand names dynamically.</t>
  </si>
  <si>
    <t>Adding a new competitor (going from N to N+1)</t>
  </si>
  <si>
    <t>Just enter their brand name in the next available B-row in Snapshot Setup, then start scoring on the corresponding Score — Comp tab. The template supports up to 6 comps with no rework. Going beyond 6 is a structural change — flag to the snapshot owner.</t>
  </si>
  <si>
    <t>Dropping a competitor</t>
  </si>
  <si>
    <t>Clear their brand name in Snapshot Setup. Their Score Input tab won't be used. Their rows in Trend history stay (audit trail). New snapshots simply don't include them.</t>
  </si>
  <si>
    <t>Industry profile changes mid-engagement</t>
  </si>
  <si>
    <t>Changing Snapshot Setup B5 recomputes all composites under the new profile. Past snapshots in Trend stay valid — each Trend row records the profile that was active when scored. Note the change in B11.</t>
  </si>
  <si>
    <t>Methodology change (metric added/removed/redefined)</t>
  </si>
  <si>
    <t>This is a framework change, not a snapshot change. Update at the source (NSC/Synth) and rebuild the template. Don't try to handle in a snapshot file.</t>
  </si>
  <si>
    <t>Ghost rows in Trend (when using fewer than 6 comps)</t>
  </si>
  <si>
    <t>The Computed long-format blocks always produce one row per available comp slot, even slots you didn't fill. When you paste these blocks into Trend tabs, empty-comp rows paste as ghost rows — valid date, blank brand, blank score, but populated dim/sub-dim/metric labels and the active industry profile. Per snapshot, you'll get up to: 3 ghost rows in Composite (Long), 12 in Dim (Long), 51 in Sub-Dim (Long), and 165 in Metric (Long) when running 3 comps instead of 6.</t>
  </si>
  <si>
    <t>Ghost rows are harmless: they do not affect rollup math (Trend tabs are pure data, no formulas), they do not corrupt the Trend Status sidecar's snapshot count (which counts distinct dates, not rows), and they paste as static values not formulas, so they cannot break later if the snapshot file structure changes.</t>
  </si>
  <si>
    <t>HANDLING: Two options, pick whichever fits your workflow:</t>
  </si>
  <si>
    <t>(A) Leave them in. Filter blank-brand rows out at the analysis layer (Excel filter, pivot table, BI tool, SQL WHERE brand IS NOT NULL). This is the recommended default — minimal cognitive load during the snapshot cycle.  (B) Skip them during paste. Before pasting the long-format block into a Trend tab, manually select only the rows with a non-blank brand name. Adds a 30-second filtering step but keeps Trend tabs clean. Choose this if your downstream tools don't filter well or if Trend will be read manually.</t>
  </si>
  <si>
    <t>TROUBLESHOOTING</t>
  </si>
  <si>
    <t>Computed cells show blank where you expect a number</t>
  </si>
  <si>
    <t>Cause: All constituent input cells are blank. Check Score Input completion %.</t>
  </si>
  <si>
    <t>Composite for a competitor seems off</t>
  </si>
  <si>
    <t>Cause #1: Many sub-dims blank → composite computed on small sample.</t>
  </si>
  <si>
    <t>Cause #2: Industry profile is wrong.</t>
  </si>
  <si>
    <t>Cause #3: One outlier metric pulling a sub-dim mean.</t>
  </si>
  <si>
    <t>Pillar scores don't match composite/dim trends</t>
  </si>
  <si>
    <t>Expected. Pillars are operational categories (Experience, Findability, Operations, AI, Trust). Dimensions are competitive (Acquisition, Conversion, Engagement, Innovation). Same metric is in different pillar vs dim. Use composite for benchmarking; pillars for client-facing operational view.</t>
  </si>
  <si>
    <t>Trend tab shows duplicate rows for same date+brand</t>
  </si>
  <si>
    <t>Step 6 was run twice for same snapshot. Manually delete duplicates. Verify Trend Status 'Distinct snapshots' matches reality.</t>
  </si>
  <si>
    <t>Pasted values in Trend may show reference errors if source rows are moved</t>
  </si>
  <si>
    <t>Used regular paste instead of paste-special-as-values. Delete broken rows and redo with Ctrl+Shift+V → Values.</t>
  </si>
  <si>
    <t>Score cell rejects input / shows error popup</t>
  </si>
  <si>
    <t>You entered a value outside 0–100 or non-numeric. Fix the value or leave blank.</t>
  </si>
  <si>
    <t>FILE HYGIENE &amp; VERSIONING</t>
  </si>
  <si>
    <t>Naming: CXO_Snapshot_YYYY-MM.xlsx. Sorts chronologically.</t>
  </si>
  <si>
    <t>Storage: shared folder, one file per month, never overwrite past snapshots.</t>
  </si>
  <si>
    <t>Concurrent editing: one editor at a time unless using SharePoint/OneDrive co-authoring.</t>
  </si>
  <si>
    <t>Retention: keep every monthly file forever — that's your audit trail. Files are &lt;1 MB each.</t>
  </si>
  <si>
    <t>RULES OF THE ROAD (do not bypass)</t>
  </si>
  <si>
    <t>1. Trend tabs are append-only. Never delete past months.</t>
  </si>
  <si>
    <t>2. Never edit cells outside cream input zones in Score tabs.</t>
  </si>
  <si>
    <t>3. Never plain-paste into Trend tabs. Always paste-special-as-values.</t>
  </si>
  <si>
    <t>4. Don't add or remove metric rows. Metric Reference is the source of truth.</t>
  </si>
  <si>
    <t>5. Don't reorder tabs.</t>
  </si>
  <si>
    <t>6. Sample is always Brand 0 (B6). Don't move clients into a Comp slot.</t>
  </si>
  <si>
    <t>METHODOLOGY REFERENCE</t>
  </si>
  <si>
    <t>Score scale: 0–100 per metric. 0 = not present / very poor. 100 = best in class. 50 = median expectation.</t>
  </si>
  <si>
    <t>Sub-Dim score = simple mean of the metrics inside it (unweighted).</t>
  </si>
  <si>
    <t>Dim score = weighted mean of sub-dims using Synth Within-Dim Weights.</t>
  </si>
  <si>
    <t>Composite = weighted mean of all 4 dims using the active industry profile.</t>
  </si>
  <si>
    <t>Pillar scores (Sample only) = SUMPRODUCT of metric scores × master weights, divided by SUMPRODUCT of weights where score is numeric.</t>
  </si>
  <si>
    <t>Public vs Private metrics:</t>
  </si>
  <si>
    <t xml:space="preserve">    • 55 publicly observable — scoreable for any brand.</t>
  </si>
  <si>
    <t xml:space="preserve">    • 13 NSC-only (engagement-gated data) — scored for Sample only. Examples: Release Stability, Operational Responsiveness, ContentOps Maturity.</t>
  </si>
  <si>
    <t>Industry profile weights:</t>
  </si>
  <si>
    <t xml:space="preserve">    • B2B SaaS: Acq=0.35, Conv=0.18, Eng=0.29, Inn=0.18</t>
  </si>
  <si>
    <t xml:space="preserve">    • D2C / Retail: Acq=0.29, Conv=0.35, Eng=0.24, Inn=0.12</t>
  </si>
  <si>
    <t xml:space="preserve">    • B2B Enterprise: Acq=0.25, Conv=0.19, Eng=0.31, Inn=0.25</t>
  </si>
  <si>
    <t xml:space="preserve">    • Custom (intake-set): Acq=0.25, Conv=0.25, Eng=0.25, Inn=0.25</t>
  </si>
  <si>
    <t>End of README. Questions: ask the Snapshot Owner.</t>
  </si>
  <si>
    <t>Snapshot Setup</t>
  </si>
  <si>
    <t>Field</t>
  </si>
  <si>
    <t>Value</t>
  </si>
  <si>
    <t>Notes</t>
  </si>
  <si>
    <t>Snapshot Date (YYYY-MM-DD)</t>
  </si>
  <si>
    <t>First day of month. Displays as 'Jun 2026'.</t>
  </si>
  <si>
    <t>Industry Profile</t>
  </si>
  <si>
    <t>CPG/Household Brand</t>
  </si>
  <si>
    <t>Picks composite weights. CPG/Household Brand weights: Acquisition 36%, Conversion 22%, Engagement &amp; Retention 30%, Innovation &amp; Future-Readiness 12%.</t>
  </si>
  <si>
    <t>Sample Brand Name (Client)</t>
  </si>
  <si>
    <t>Lysol</t>
  </si>
  <si>
    <t>The client brand. Always Brand 0.</t>
  </si>
  <si>
    <t>Comp 1 Brand Name</t>
  </si>
  <si>
    <t>Clorox Portfolio (Clorox, Pine-Sol, Purell)</t>
  </si>
  <si>
    <t>Leave blank if not using this slot.</t>
  </si>
  <si>
    <t>Comp 2 Brand Name</t>
  </si>
  <si>
    <t>P&amp;G Home Care (Mr. Clean, Microban 24)</t>
  </si>
  <si>
    <t>Comp 3 Brand Name</t>
  </si>
  <si>
    <t>Seventh Generation</t>
  </si>
  <si>
    <t>Snapshot Owner</t>
  </si>
  <si>
    <t>Arun Murugadoss</t>
  </si>
  <si>
    <t>Person responsible for this snapshot.</t>
  </si>
  <si>
    <t>Notes / Context</t>
  </si>
  <si>
    <t>Lysol June 2026 CPG/Household Brand digital health snapshot. Competitor set: Clorox, Pine-Sol, Purell, Mr. Clean, Microban, Seventh Generation.</t>
  </si>
  <si>
    <t>Anything noteworthy about this snapshot (data quality issues, methodology notes, partial completion).</t>
  </si>
  <si>
    <t>Industry Profile Weight Reference</t>
  </si>
  <si>
    <t>Profile</t>
  </si>
  <si>
    <t>Acquisition</t>
  </si>
  <si>
    <t>Conversion</t>
  </si>
  <si>
    <t>Engagement &amp; Retention</t>
  </si>
  <si>
    <t>Innovation &amp; Future-Readiness</t>
  </si>
  <si>
    <t>B2B SaaS</t>
  </si>
  <si>
    <t>D2C / Retail</t>
  </si>
  <si>
    <t>B2B Enterprise</t>
  </si>
  <si>
    <t>Custom (intake-set)</t>
  </si>
  <si>
    <t>Metric Reference (read-only registry of 68 metrics)</t>
  </si>
  <si>
    <t>#</t>
  </si>
  <si>
    <t>Pillar</t>
  </si>
  <si>
    <t>Metric</t>
  </si>
  <si>
    <t>Public?</t>
  </si>
  <si>
    <t>Primary Sub-Dim</t>
  </si>
  <si>
    <t>Primary Dim</t>
  </si>
  <si>
    <t>Weight</t>
  </si>
  <si>
    <t>Anonymous?</t>
  </si>
  <si>
    <t>Primary Tool Used</t>
  </si>
  <si>
    <t>Alternative / Fallback</t>
  </si>
  <si>
    <t>Scoring Logic</t>
  </si>
  <si>
    <t>Business Impact</t>
  </si>
  <si>
    <t>Experience</t>
  </si>
  <si>
    <t>Load Time &amp; Performance (Web)</t>
  </si>
  <si>
    <t>Yes</t>
  </si>
  <si>
    <t>Page Performance &amp; Speed</t>
  </si>
  <si>
    <t>Google PageSpeed Insights (CrUX + Lighthouse)</t>
  </si>
  <si>
    <t>WebPageTest / GTmetrix lab check</t>
  </si>
  <si>
    <t>Desktop/web LCP is healthy, but performance still has JS and render-blocking drag.
Formula: 50% LCP health + 30% performance score + 20% TBT/render-blocking risk.</t>
  </si>
  <si>
    <t>Desktop page speed supports first impression, browsing flow, landing pages, and productivity for new and returning customers.</t>
  </si>
  <si>
    <t>Load Time &amp; Performance (Mobile)</t>
  </si>
  <si>
    <t>Google PageSpeed Insights (mobile CrUX + Lighthouse)</t>
  </si>
  <si>
    <t>WebPageTest mobile profile</t>
  </si>
  <si>
    <t>Mobile LCP is the main customer-experience risk. PDP is severe.
Formula: 70% mobile LCP + 20% mobile performance score + 10% render-blocking/TBT risk.</t>
  </si>
  <si>
    <t>Mobile page speed is critical for shopping, product evaluation, and lower-friction customer journeys since mobile traffic is high</t>
  </si>
  <si>
    <t>Responsiveness — Web (INP)</t>
  </si>
  <si>
    <t>Google PageSpeed Insights (CrUX INP)</t>
  </si>
  <si>
    <t>Lighthouse / Chrome DevTools performance trace</t>
  </si>
  <si>
    <t>INP is scored against CWV thresholds: good &lt;=200ms, needs improvement 200-500ms, poor &gt;500ms.
Formula: Average desktop INP score for Home and PDP, with PDP penalty.</t>
  </si>
  <si>
    <t>Desktop responsiveness supports smooth product interaction, navigation, filtering, and form completion.</t>
  </si>
  <si>
    <t>Responsiveness — Mobile (INP)</t>
  </si>
  <si>
    <t>Google PageSpeed Insights (mobile INP)</t>
  </si>
  <si>
    <t>Chrome DevTools long-task analysis</t>
  </si>
  <si>
    <t>Mobile INP is below target on both samples. PDP needs improvments.
Formula: Average mobile INP threshold score for Home and PDP.</t>
  </si>
  <si>
    <t>Mobile responsiveness is critical because tap delay directly affects quality and purchase confidence.</t>
  </si>
  <si>
    <t>Visual Stability — Web (CLS)</t>
  </si>
  <si>
    <t>Google PageSpeed Insights (CrUX CLS)</t>
  </si>
  <si>
    <t>Lighthouse layout-shift diagnostics</t>
  </si>
  <si>
    <t>CLS passes on both desktop samples.
Formula: Average CLS threshold score for Home and PDP.</t>
  </si>
  <si>
    <t>Desktop visual stability protects usability by reducing unexpected movement and accidental interaction.</t>
  </si>
  <si>
    <t>Visual Stability — Mobile (CLS)</t>
  </si>
  <si>
    <t>Google PageSpeed Insights (mobile CLS)</t>
  </si>
  <si>
    <t>Mobile CLS passes on both samples.
Formula: Average mobile CLS threshold score for Home and PDP.</t>
  </si>
  <si>
    <t>Mobile visual stability protects trust and usability on small screens where layout shifts are more disruptive.</t>
  </si>
  <si>
    <t>Coding Best Practices</t>
  </si>
  <si>
    <t>Engineering Discipline</t>
  </si>
  <si>
    <t>Partial</t>
  </si>
  <si>
    <t>Lighthouse Best Practices</t>
  </si>
  <si>
    <t>Chrome DevTools Issues + BuiltWith/Wappalyzer signals</t>
  </si>
  <si>
    <t>Best Practices score is adjusted by deprecated API, console, cookie, and third-party issues.
Formula: Average Lighthouse Best Practices score minus recurring issue penalty.</t>
  </si>
  <si>
    <t>Coding best practices reduce browser compatibility risk, runtime instability, and avoidable technical debt.</t>
  </si>
  <si>
    <t>Security (Web)</t>
  </si>
  <si>
    <t>Trust &amp; Credibility</t>
  </si>
  <si>
    <t>SSL Labs + SecurityHeaders + HTTP Security Headers Analyzer</t>
  </si>
  <si>
    <t>CyScan cookie/dependency scan</t>
  </si>
  <si>
    <t>TLS is strong, but header strictness, cookies, and dependency exposure reduce maturity.
Formula: 40% TLS + 30% security headers + 20% cookie posture + 10% third-party exposure.</t>
  </si>
  <si>
    <t>Web security protects customer trust, checkout confidence, data handling, and healthcare-commerce credibility.</t>
  </si>
  <si>
    <t>Security (Mobile)</t>
  </si>
  <si>
    <t>MobSF / Ostorlab (if mobile app exists)</t>
  </si>
  <si>
    <t>Not scored unless a native mobile app is in scope.
Formula: Native app security score from transport security, permissions, SDK/dependency risk, storage, privacy controls, and release posture.</t>
  </si>
  <si>
    <t>Mobile app security matters only when a native app is in scope; otherwise keep it outside the web baseline.</t>
  </si>
  <si>
    <t>Infrastructure &amp; Hosting</t>
  </si>
  <si>
    <t>Platform Modernity</t>
  </si>
  <si>
    <t>UptimeRobot + Pingdom</t>
  </si>
  <si>
    <t>DNSChecker + WebPageTest route checks</t>
  </si>
  <si>
    <t>Availability is strong, but route-level and payload/request efficiency are not mature.
Formula: 50% uptime + 25% response/load time + 25% request/payload/DNS monitoring maturity.</t>
  </si>
  <si>
    <t>Infrastructure and hosting quality protects availability, response consistency, and critical commerce journeys.</t>
  </si>
  <si>
    <t>Data, Consumer &amp; Privacy Law Compliance</t>
  </si>
  <si>
    <t>Manual compliance review + Devtools audit</t>
  </si>
  <si>
    <t>Privacy maturity is based on visible consent, cookie, and data-layer behavior, with penalties for incomplete cookie inventory or consent validation.
Formula: 35% consent evidence + 30% cookie governance + 25% data-layer/privacy alignment + 10% ownership proof.</t>
  </si>
  <si>
    <t>Privacy and consumer-law compliance protects consent integrity, customer trust, and regulatory readiness.</t>
  </si>
  <si>
    <t>Accessibility</t>
  </si>
  <si>
    <t>Inclusive Conversion</t>
  </si>
  <si>
    <t>WAVE + Lighthouse Accessibility + Silktide</t>
  </si>
  <si>
    <t>axe DevTools + manual keyboard/screen-reader check</t>
  </si>
  <si>
    <t>High Lighthouse scores are reduced because WAVE/Silktide/AccessibilityChecker show real issue burden.
Formula: Average Lighthouse accessibility score minus issue-severity penalty.</t>
  </si>
  <si>
    <t>Accessibility ensures the site can be used by more customers and reduces compliance, trust, and conversion risk.</t>
  </si>
  <si>
    <t>Digital Platform Version</t>
  </si>
  <si>
    <t>BuiltWith + Wappalyzer</t>
  </si>
  <si>
    <t>Optimizely admin/runtime package inventory</t>
  </si>
  <si>
    <t>Stack is visible, but exact deployed CMS/Commerce/SDK versions are not identified.
Formula: 40% stack visibility + 30% version proof + 30% support/EOL readiness.</t>
  </si>
  <si>
    <t>Digital platform version governance protects supportability, EOL readiness, security, and commerce continuity.</t>
  </si>
  <si>
    <t>Release Stability</t>
  </si>
  <si>
    <t>No</t>
  </si>
  <si>
    <t>—</t>
  </si>
  <si>
    <t>PSI/Lighthouse/GTMetrix comparison runs</t>
  </si>
  <si>
    <t>Release stability is directional without deployment records; score reflects visible regression risk across performance, security, SEO, accessibility, and tags.
Formula: 40% quality-signal stability + 30% release-gate evidence + 20% monitoring/rollback proof + 10% third-party change control.</t>
  </si>
  <si>
    <t>Release stability reduces regression risk and protects improvements after platform, campaign, or content changes.</t>
  </si>
  <si>
    <t>Peak Usage Reliability</t>
  </si>
  <si>
    <t>WebPageTest synthetic journey</t>
  </si>
  <si>
    <t>UptimeRobot / Pingdom monitoring</t>
  </si>
  <si>
    <t>Peak reliability is directional without load-test evidence; score reflects availability, response signals, delivery hygiene, and monitor maturity.
Formula: 35% uptime/monitoring + 25% response/load signal + 25% CDN/cache/delivery readiness + 15% load-test or synthetic-journey proof.</t>
  </si>
  <si>
    <t>Peak usage reliability protects promotions, seasonal demand, and high-traffic product journeys.</t>
  </si>
  <si>
    <t>Data Layer &amp; GTM Tracking</t>
  </si>
  <si>
    <t>Data &amp; Measurement Sophistication</t>
  </si>
  <si>
    <t>Google Tag Assistant + DataLayer Checker</t>
  </si>
  <si>
    <t>Tracking presence is confirmed, but event quality and consent gating are not validated.
Formula: 40% tag/event presence + 30% ecommerce event coverage + 30% consent/schema quality.</t>
  </si>
  <si>
    <t>Data layer and GTM tracking quality protects attribution, personalization, analytics confidence, and customer behaviour learning.</t>
  </si>
  <si>
    <t>Structured Data &amp; Schema Markup</t>
  </si>
  <si>
    <t>AI / Agentic Surface Maturity</t>
  </si>
  <si>
    <t>Google Rich Results Test</t>
  </si>
  <si>
    <t>Schema.org Validator / Screaming Frog structured data crawl</t>
  </si>
  <si>
    <t>Structured-data maturity reflects whether JSON-LD exists, validates, maps to page purpose, and has saved proof.
Formula: 35% JSON-LD presence + 30% schema/type fit + 20% rich-result validator proof + 15% CMS/template QA readiness.</t>
  </si>
  <si>
    <t>Structured data helps search engines and AI systems understand entities, products, FAQs, and rich-result eligibility.</t>
  </si>
  <si>
    <t>Site Architecture &amp; Crawl Health</t>
  </si>
  <si>
    <t>Search Demand Capture</t>
  </si>
  <si>
    <t>Semrush Site Audit + Screaming Frog</t>
  </si>
  <si>
    <t>Crawl/index architecture has multiple domain-level issues.
Formula: Base architecture score minus penalties for sitemap, robots, blocked resources, H1, links, and duplicate metadata.</t>
  </si>
  <si>
    <t>Site architecture and crawl health support organic discovery, index efficiency, and AI/search understanding.</t>
  </si>
  <si>
    <t>Error &amp; Redirect Health</t>
  </si>
  <si>
    <t>Ahrefs Site Audit</t>
  </si>
  <si>
    <t>Error health is reduced by broken links, protocol issues, external errors, and redirect complexity.
Formula: Base health score minus link/protocol/redirect issue penalties.</t>
  </si>
  <si>
    <t>Error and redirect hygiene protects crawl budget, customer trust, and continuity across linked journeys.</t>
  </si>
  <si>
    <t>Third-Party Script Bloat</t>
  </si>
  <si>
    <t>Lighthouse third-party diagnostics</t>
  </si>
  <si>
    <t>WebPageTest request map + BuiltWith inventory</t>
  </si>
  <si>
    <t>Third-party bloat has direct impact on LCP, INP, TBT, privacy, and maintainability.
Formula: Script-risk score from request volume, vendor count, TBT, and recurring BP/security findings.</t>
  </si>
  <si>
    <t>Third-party script governance protects speed, privacy, security exposure, and maintainability.</t>
  </si>
  <si>
    <t>Image &amp; Media Optimization</t>
  </si>
  <si>
    <t>Google PageSpeed Insights image diagnostics</t>
  </si>
  <si>
    <t>WebPageTest filmstrip/waterfall</t>
  </si>
  <si>
    <t>Image/media score is based on repeated optimization findings and mobile LCP impact.
Formula: Base media readiness minus LCP and image-delivery penalties.</t>
  </si>
  <si>
    <t>Image and media optimization supports faster product understanding and a better visual user and shopping experience.</t>
  </si>
  <si>
    <t>JS &amp; CSS Optimization</t>
  </si>
  <si>
    <t>Google PageSpeed Insights + Lighthouse diagnostics</t>
  </si>
  <si>
    <t>Chrome DevTools Coverage / WebPageTest</t>
  </si>
  <si>
    <t>JS/CSS optimization is one of the biggest shared gaps because TBT and render-blocking are high.
Formula: Base optimization score minus TBT, render-blocking, and unminified asset penalties.</t>
  </si>
  <si>
    <t>JavaScript and CSS optimization protects render speed, responsiveness, and front-end maintainability.</t>
  </si>
  <si>
    <t>CDN &amp; Caching Behavior</t>
  </si>
  <si>
    <t>WebPageTest cache analysis</t>
  </si>
  <si>
    <t>Chrome DevTools Network + CDN header review</t>
  </si>
  <si>
    <t>Caching/CDN score is directional because baseline has delivery signals but not full route-level cache proof.
Formula: Delivery capability score minus cache/request-efficiency gaps.</t>
  </si>
  <si>
    <t>CDN and caching behavior improves repeat-visit speed, resilience, and delivery efficiency.</t>
  </si>
  <si>
    <t>Digital Sustainability Score</t>
  </si>
  <si>
    <t>Brand-Driven Demand</t>
  </si>
  <si>
    <t>Website Carbon Calculator</t>
  </si>
  <si>
    <t>Ecograder / Beacon</t>
  </si>
  <si>
    <t>Digital sustainability score follows page carbon, page weight, hosting proof, and overlap with performance/script remediation.
Formula: 40% emissions/page load + 25% page weight + 20% green hosting evidence + 15% remediation alignment.</t>
  </si>
  <si>
    <t>Digital sustainability is a supporting business signal tied to payload efficiency, brand responsibility, and cost discipline.</t>
  </si>
  <si>
    <t>Service Worker &amp; PWA Maturity</t>
  </si>
  <si>
    <t>Lighthouse PWA audit + manifest.json / sw.js inspection</t>
  </si>
  <si>
    <t>Chrome DevTools Application panel (offline support, install prompt, cacheable assets)</t>
  </si>
  <si>
    <t>Composite: 40% manifest completeness + 30% service worker scope and caching strategy + 20% installability + 10% offline functional pages.</t>
  </si>
  <si>
    <t>PWA capabilities support repeat-visit speed, offline resilience, install/engagement signals, and reduced reliance on app-store distribution.</t>
  </si>
  <si>
    <t>Findability</t>
  </si>
  <si>
    <t>User Journey Analysis</t>
  </si>
  <si>
    <t>Lifecycle &amp; Loyalty Mechanics</t>
  </si>
  <si>
    <t>Manual walk-through</t>
  </si>
  <si>
    <t>Journey score is partial from public page-path review and measurement signals; full score requires analytics/session-path evidence.
Formula: 35% visible journey coverage + 25% task clarity + 20% measurement signals + 20% completion/drop-off evidence.</t>
  </si>
  <si>
    <t>User journey analysis shows whether customers can move from need to product decision without confusion.</t>
  </si>
  <si>
    <t>Frictionless Conversion / Payment</t>
  </si>
  <si>
    <t>Funnel Friction</t>
  </si>
  <si>
    <t>Conversion score reflects retailer-handoff maturity because direct checkout is not visible.
Formula: 35% CTA/handoff clarity + 25% product decision support + 25% tracking/event coverage + 15% payment/checkout ownership where applicable.</t>
  </si>
  <si>
    <t>Frictionless conversion and payment maturity directly supports checkout completion and conversion</t>
  </si>
  <si>
    <t>Digital Engagement Feature Maturity</t>
  </si>
  <si>
    <t>Personalization &amp; Relevance</t>
  </si>
  <si>
    <t>Manual review</t>
  </si>
  <si>
    <t>BuiltWith (personalization signals)</t>
  </si>
  <si>
    <t>Engagement maturity reflects visible owned engagement features and decision-support depth.
Formula: 30% discovery/browse features + 25% education/sign-up features + 25% product proof/support features + 20% personalization or advanced engagement.</t>
  </si>
  <si>
    <t>Digital engagement feature maturity supports product confidence, education, personalization, and assisted decisioning.</t>
  </si>
  <si>
    <t>Account Feature Maturity</t>
  </si>
  <si>
    <t>Manual review (Tier-4 gated)</t>
  </si>
  <si>
    <t>Not scored unless account, loyalty, CRM, or preference-center evidence is in scope.
Formula: 30% account/self-service capability + 25% lifecycle/loyalty features + 25% preference/consent depth + 20% retention measurement.</t>
  </si>
  <si>
    <t>Account feature maturity supports repeat purchase, self-service, retention, and customer convenience.</t>
  </si>
  <si>
    <t>Search &amp; Indexing Maturity</t>
  </si>
  <si>
    <t>Manual</t>
  </si>
  <si>
    <t>Search/indexing score reflects crawlability, index controls, metadata, link clarity, and future search governance.
Formula: 30% indexability + 25% metadata/canonical health + 20% crawl/link hygiene + 15% image/content clarity + 10% AI/search governance.</t>
  </si>
  <si>
    <t>Search and indexing maturity supports discoverability across internal search, external search, and structured journeys.</t>
  </si>
  <si>
    <t>SEO Performance</t>
  </si>
  <si>
    <t>Semrush + Lighthouse SEO</t>
  </si>
  <si>
    <t>Google Search Console / Screaming Frog</t>
  </si>
  <si>
    <t>Headline Lighthouse SEO is good, but domain audit debt lowers practical SEO health.
Formula: 40% Lighthouse SEO + 40% Semrush issue severity + 20% organic depth/context.</t>
  </si>
  <si>
    <t>SEO performance supports organic demand capture, content efficiency, and lower dependency on paid acquisition.</t>
  </si>
  <si>
    <t>GEO Performance (AI Search Visibility)</t>
  </si>
  <si>
    <t>AI / Answer-Engine Visibility</t>
  </si>
  <si>
    <t>Semrush AI Visibility Toolkit</t>
  </si>
  <si>
    <t>Manual prompt-set validation + AI citation review</t>
  </si>
  <si>
    <t>GEO score follows AI Visibility but is qualified by prompt relevance and citation quality.
Formula: AI Visibility index with business-relevance adjustment.</t>
  </si>
  <si>
    <t>GEO performance supports visibility in AI answer engines and future search/discovery behavior.</t>
  </si>
  <si>
    <t>Content Coverage</t>
  </si>
  <si>
    <t>Semrush On Page SEO Checker + Site Audit Content issues</t>
  </si>
  <si>
    <t>Screaming Frog content crawl</t>
  </si>
  <si>
    <t>Content coverage score is reduced by low text/HTML, keyword-placement gaps, and template inconsistency.
Formula: Base content readiness minus thin-content, keyword, and structure penalties.</t>
  </si>
  <si>
    <t>Content coverage supports customer education, SEO, AEO/GEO, and product-selection confidence.</t>
  </si>
  <si>
    <t>Content Authority</t>
  </si>
  <si>
    <t>Organic Search Authority</t>
  </si>
  <si>
    <t>Semrush Topic/Keyword Gap + content quality review</t>
  </si>
  <si>
    <t>Ahrefs / manual E-E-A-T review</t>
  </si>
  <si>
    <t>Authority is limited by weak semantic depth, thin pages (Low text-HTML), and citation readiness gaps.
Formula: Content authority estimate from topical depth, internal linking, citation quality, and semantic coverage.</t>
  </si>
  <si>
    <t>Content authority supports trust, topical depth, citations, rankings, and internal journey support.</t>
  </si>
  <si>
    <t>Brand Guideline Adherence</t>
  </si>
  <si>
    <t>Brand guideline score is outside-in unless official brand rules are provided.
Formula: 30% naming/message consistency + 25% preview/metadata hygiene + 25% visual/accessibility quality + 20% official guideline proof.</t>
  </si>
  <si>
    <t>Brand guideline adherence protects consistency, recognition, and confidence across digital touchpoints.</t>
  </si>
  <si>
    <t>Competitor Content &amp; Marketing Gap</t>
  </si>
  <si>
    <t>SEMrush Keyword Gap + Backlink Gap</t>
  </si>
  <si>
    <t>Ahrefs</t>
  </si>
  <si>
    <t>Competitor content gap score reflects how content depth, readability, topic ownership, and proof compare with named competitors.
Formula: 30% content depth + 25% keyword/topic ownership + 20% readability/usefulness + 15% structured content + 10% competitor coverage quality.</t>
  </si>
  <si>
    <t>Competitor content and marketing gap analysis shows where NSC can win demand, topics, and positioning.</t>
  </si>
  <si>
    <t>Structured Data for Rich Results (SERP)</t>
  </si>
  <si>
    <t>Schema validator</t>
  </si>
  <si>
    <t>Rich-result score reflects schema readiness for search presentation, not just JSON-LD presence.
Formula: 35% eligible schema base + 25% required field completeness + 20% validator proof + 20% visible content/support alignment.</t>
  </si>
  <si>
    <t>Structured data for rich results improves machine understanding and can support enhanced SERP/AI presentation.</t>
  </si>
  <si>
    <t>E-E-A-T Signals</t>
  </si>
  <si>
    <t>E-E-A-T score reflects visible trust, expertise, content proof, and quality signals from public pages.
Formula: 30% brand/source accountability + 25% content helpfulness/proof + 20% accessibility/trust quality + 15% authority signals + 10% review/reputation proof.</t>
  </si>
  <si>
    <t>E-E-A-T signals support trust, healthcare credibility, content confidence, and AI/search quality assessment.</t>
  </si>
  <si>
    <t>Social Media Presence &amp; Integration</t>
  </si>
  <si>
    <t>Manual review + OG / Twitter Card validators</t>
  </si>
  <si>
    <t>Social integration score reflects public social links, share-preview hygiene, and evidence of channel connection.
Formula: 35% social presence + 30% Open Graph/share setup + 20% campaign/channel integration + 15% performance or engagement proof.</t>
  </si>
  <si>
    <t>Social integration is a lighter-weight support signal for sharing, consistency, and brand ecosystem connection.</t>
  </si>
  <si>
    <t>Email / Lead Capture Maturity</t>
  </si>
  <si>
    <t>Paid Acquisition Program Scale</t>
  </si>
  <si>
    <t>Manual front-door review</t>
  </si>
  <si>
    <t>Email/lead capture score reflects visible capture paths, value exchange, consent clarity, and lifecycle proof.
Formula: 30% capture visibility + 25% form/friction quality + 20% consent/preference proof + 15% lifecycle segmentation + 10% measurement evidence.</t>
  </si>
  <si>
    <t>Email and lead capture maturity supports retention, sampling, education, and lifecycle conversion.</t>
  </si>
  <si>
    <t>Internationalization &amp; Localization</t>
  </si>
  <si>
    <t>Screaming Frog (hreflang)</t>
  </si>
  <si>
    <t>_</t>
  </si>
  <si>
    <t>Localization score reflects market/language readiness and regional content proof.
Formula: 35% language/market coverage + 25% hreflang/routing + 20% localized content/product availability + 20% regional compliance proof.</t>
  </si>
  <si>
    <t>Internationalization and localization matter when market expansion, language, or region-specific content is in scope.</t>
  </si>
  <si>
    <t>Domain Authority &amp; Backlink Health</t>
  </si>
  <si>
    <t>Semrush Backlink Analytics / Domain Overview</t>
  </si>
  <si>
    <t>Ahrefs backlink export</t>
  </si>
  <si>
    <t>Authority score reflects domain strength, organic scale, backlink quality, and priority-page link evidence.
Formula: 30% authority score + 25% organic/keyword scale + 25% backlink/referring-domain quality + 20% priority-page link equity.</t>
  </si>
  <si>
    <t>Domain authority and backlink health support credibility, ranking potential, and competitive SEO strength.</t>
  </si>
  <si>
    <t>Competitor Benchmark Overlay</t>
  </si>
  <si>
    <t>Run all primary tools on 2–3 competitors</t>
  </si>
  <si>
    <t>Competitor overlay score reflects breadth, comparability, and actionability of competitive evidence.
Formula: 30% competitor coverage + 25% page-type comparability + 25% metric completeness + 20% remediation/actionability value.</t>
  </si>
  <si>
    <t>Competitor benchmark overlay helps convert assessment outputs into market priorities.</t>
  </si>
  <si>
    <t>Traffic Analysis (Sources/Demographics)</t>
  </si>
  <si>
    <t>GA4 (Tier-2 gated)</t>
  </si>
  <si>
    <t>Not scored from public evidence alone; first-party analytics are required for full traffic-source and demographic scoring.
Formula: 30% source/medium mix + 25% landing-page traffic quality + 20% audience/device/geography + 15% conversion contribution + 10% trend reliability.</t>
  </si>
  <si>
    <t>Traffic analysis connects experience/findability health to actual source mix, audience behavior, and opportunity sizing.</t>
  </si>
  <si>
    <t>Landing Page Program — Structural Audit</t>
  </si>
  <si>
    <t>Site crawl for /lp/ /landing/ /campaigns/ patterns + ad-platform landing-page sampling</t>
  </si>
  <si>
    <t>Wayback / SimilarWeb paid-traffic landing fingerprints</t>
  </si>
  <si>
    <t>Composite: 30% LP volume relative to channel mix + 25% message-match to ad copy + 25% conversion infrastructure (forms, CTAs, tracking) + 20% performance hygiene.</t>
  </si>
  <si>
    <t>Landing page program structure shows campaign-readiness, message-match discipline, and conversion infrastructure — observable structurally before performance data is available.</t>
  </si>
  <si>
    <t>Operations</t>
  </si>
  <si>
    <t>Design System &amp; Component Maturity</t>
  </si>
  <si>
    <t>Manual front-end review</t>
  </si>
  <si>
    <t>Storybook / Figma access (Tier-3)</t>
  </si>
  <si>
    <t>Design-system maturity score reflects component reuse, consistency, accessibility support, and documentation proof.
Formula: 30% component consistency + 25% accessibility/token governance + 20% documentation or Storybook/Figma proof + 25% release adoption.</t>
  </si>
  <si>
    <t>Design system and component maturity support consistency, accessibility, speed of change, and reduced rework.</t>
  </si>
  <si>
    <t>ContentOps Maturity</t>
  </si>
  <si>
    <t>Tier-1 stakeholder consult</t>
  </si>
  <si>
    <t>Not scored without ContentOps access or stakeholder evidence.
Formula: 30% ownership/workflow clarity + 25% editorial QA + 20% CMS governance + 15% publishing velocity + 10% measurement feedback loop.</t>
  </si>
  <si>
    <t>ContentOps maturity supports governance, publishing quality, ownership, and scalable content improvement.</t>
  </si>
  <si>
    <t>SDLC Process Oversight</t>
  </si>
  <si>
    <t>Not scored without SDLC evidence.
Formula: 30% release governance + 25% QA/regression coverage + 20% security/privacy gates + 15% rollback/incident process + 10% documentation.</t>
  </si>
  <si>
    <t>SDLC process oversight protects release quality, regression control, security, and delivery predictability.</t>
  </si>
  <si>
    <t>MarkOps Responsiveness</t>
  </si>
  <si>
    <t>Not scored without marketing-operations evidence.
Formula: 30% intake/prioritization + 25% turnaround reliability + 20% campaign QA + 15% tool/process integration + 10% performance feedback.</t>
  </si>
  <si>
    <t>MarkOps responsiveness supports timely campaign execution, content changes, and business-request handling.</t>
  </si>
  <si>
    <t>Operational Responsiveness — Digital Issues</t>
  </si>
  <si>
    <t>Tier-1</t>
  </si>
  <si>
    <t>Not scored without issue-management or SLA evidence.
Formula: 30% issue intake + 25% triage speed + 20% resolution ownership + 15% customer impact control + 10% reporting cadence.</t>
  </si>
  <si>
    <t>Operational responsiveness for digital issues protects customer-facing experience and business continuity.</t>
  </si>
  <si>
    <t>Operational Responsiveness — Tech Issues</t>
  </si>
  <si>
    <t>Not scored without technical support or incident evidence.
Formula: 30% incident detection + 25% technical triage + 20% resolution/rollback speed + 15% root-cause follow-up + 10% stakeholder communication.</t>
  </si>
  <si>
    <t>Operational responsiveness for technical issues protects platform stability and incident recovery.</t>
  </si>
  <si>
    <t>Operational Efficiency — Digital Issues</t>
  </si>
  <si>
    <t>Not scored without operational workflow evidence.
Formula: 30% work intake quality + 25% cycle time + 20% rework/defect rate + 15% ownership clarity + 10% reporting visibility.</t>
  </si>
  <si>
    <t>Operational efficiency for digital issues shows whether fixes and changes can be handled with low waste.</t>
  </si>
  <si>
    <t>Operational Efficiency — Tech Issues</t>
  </si>
  <si>
    <t>Not scored without engineering workflow evidence.
Formula: 30% delivery throughput + 25% defect/rework control + 20% automation/tooling + 15% dependency management + 10% reporting visibility.</t>
  </si>
  <si>
    <t>Operational efficiency for technical issues shows whether engineering effort is focused, repeatable, and measurable.</t>
  </si>
  <si>
    <t>Monitoring &amp; Reports</t>
  </si>
  <si>
    <t>Not scored without monitoring/reporting access.
Formula: 30% monitor coverage + 25% alert quality + 20% dashboard/report cadence + 15% ownership/escalation + 10% trend/action tracking.</t>
  </si>
  <si>
    <t>Monitoring and reports provide visibility, accountability, and early warning for digital health issues.</t>
  </si>
  <si>
    <t>Digital Team Structure &amp; Collaboration</t>
  </si>
  <si>
    <t>Operational Footprint</t>
  </si>
  <si>
    <t>Not scored without team-structure evidence.
Formula: 30% ownership clarity + 25% cross-functional workflow + 20% decision cadence + 15% capability coverage + 10% escalation path.</t>
  </si>
  <si>
    <t>Digital team structure and collaboration enable ownership clarity, faster decisions, and better cross-functional execution.</t>
  </si>
  <si>
    <t>Property &amp; Subdomain Inventory</t>
  </si>
  <si>
    <t>crt.sh certificate transparency log + SecurityTrails / DNS enumeration</t>
  </si>
  <si>
    <t>Wayback historical hostnames + Google site: operator sweep</t>
  </si>
  <si>
    <t>Composite: 50% inventory completeness vs. discovered surface + 30% governance signals (consistent platform, certs, DNS hygiene) + 20% orphaned/forgotten property risk.</t>
  </si>
  <si>
    <t>Property and subdomain inventory establishes the full digital surface area — critical for governance, security posture, brand consistency, and orphaned-asset risk.</t>
  </si>
  <si>
    <t>AI Maturity</t>
  </si>
  <si>
    <t>AI Discoverability</t>
  </si>
  <si>
    <t>Manual AI prompt/citation testing</t>
  </si>
  <si>
    <t>AI discoverability follows GEO visibility, but raw mentions must be qualified by intent and business relevance.
Formula: AI Visibility index adjusted by citation and prompt quality.</t>
  </si>
  <si>
    <t>AI discoverability shows whether NSC can appear in AI answers for relevant customer questions.</t>
  </si>
  <si>
    <t>BPO using Automation &amp; A.I.</t>
  </si>
  <si>
    <t>Not scored without BPO/process evidence.
Formula: 30% process suitability + 25% automation opportunity + 20% AI/tool readiness + 15% control/risk model + 10% outcome measurement.</t>
  </si>
  <si>
    <t>BPO using automation and AI shows how operational work can become faster, cheaper, and more consistent.</t>
  </si>
  <si>
    <t>AI Search Maturity (on-site)</t>
  </si>
  <si>
    <t>BuiltWith</t>
  </si>
  <si>
    <t>On-site AI search score reflects whether search uses semantic, guided, or AI-assisted discovery rather than basic keyword matching.
Formula: 35% AI/semantic search evidence + 25% query understanding + 20% result usefulness + 20% measurement/personalization proof.</t>
  </si>
  <si>
    <t>On-site AI search maturity supports better product/content discovery within the NSC ecosystem.</t>
  </si>
  <si>
    <t>AI Features (Industry Benchmark)</t>
  </si>
  <si>
    <t>Manual review of 2–3 named competitors</t>
  </si>
  <si>
    <t>AI feature benchmark score compares visible AI-enabled features against relevant competitor and industry patterns.
Formula: 30% visible AI feature depth + 25% competitor parity + 20% customer usefulness + 15% integration quality + 10% governance proof.</t>
  </si>
  <si>
    <t>AI features benchmark shows where competitors may be creating new customer expectations.</t>
  </si>
  <si>
    <t>AI-Powered Personalization</t>
  </si>
  <si>
    <t>AI personalization score reflects visible personalization signals and whether they improve relevance across content, products, or journeys.
Formula: 30% personalization signals + 25% relevance/use-case fit + 20% data/consent readiness + 15% measurement proof + 10% governance.</t>
  </si>
  <si>
    <t>AI-powered personalization supports relevance, product/information discovery and visibility, and guided decisioning.</t>
  </si>
  <si>
    <t>Conversational AI &amp; Chatbot Maturity</t>
  </si>
  <si>
    <t>Service &amp; Support Posture</t>
  </si>
  <si>
    <t>Conversational AI score reflects the maturity of chat, assistant, or guided-help experiences.
Formula: 30% chatbot/assistant presence + 25% task coverage + 20% handoff/escalation quality + 15% knowledge quality + 10% measurement/governance.</t>
  </si>
  <si>
    <t>Conversational AI and chatbot maturity supports assisted service, education, and customer convenience.</t>
  </si>
  <si>
    <t>Agentic AI &amp; Automation Readiness</t>
  </si>
  <si>
    <t>Manual + BuiltWith</t>
  </si>
  <si>
    <t>Agentic automation readiness reflects whether public systems, workflows, and governance can support automated actions safely.
Formula: 30% structured action surfaces + 25% data/workflow readiness + 20% governance/permissions + 15% integration maturity + 10% monitoring.</t>
  </si>
  <si>
    <t>Agentic AI and automation readiness supports future workflow automation and autonomous task handling.</t>
  </si>
  <si>
    <t>AI Agent Readiness</t>
  </si>
  <si>
    <t>AI agent readiness reflects whether content, data, APIs, policies, and workflows can be safely used by AI agents.
Formula: 30% machine-readable content/data + 25% API/action readiness + 20% governance/permissions + 15% trust/safety controls + 10% observability.</t>
  </si>
  <si>
    <t>AI agent readiness measures whether data, tools, governance, and workflows can support agentic use cases.</t>
  </si>
  <si>
    <t>MCP &amp; Agentic Transaction Surface</t>
  </si>
  <si>
    <t>Well-known URI checks (/.well-known/mcp, /.well-known/agent.json, /llms.txt, /agents.json) + robots.txt AI directives</t>
  </si>
  <si>
    <t>Structured action-endpoint discovery (schema.org/Action, OpenAPI exposure, headless commerce endpoints)</t>
  </si>
  <si>
    <t>Tiered: 100 = published MCP server / agent.json with documented actions; 60 = structured action endpoints (schema.org Actions, public APIs); 30 = AI-friendly robots / llms.txt only; 0 = no agentic surface.</t>
  </si>
  <si>
    <t>MCP and agentic transaction surface readiness governs whether AI agents can discover, understand, and transact on the brand's behalf — emerging frontier of digital distribution.</t>
  </si>
  <si>
    <t>Trust</t>
  </si>
  <si>
    <t>Trust &amp; Credibility Signals</t>
  </si>
  <si>
    <t>Manual trust review + SSL Labs</t>
  </si>
  <si>
    <t>SecurityHeaders + content/compliance review</t>
  </si>
  <si>
    <t>Trust score blends strong technical security with policy/content consistency gaps.
Formula: 40% SSL/TLS trust + 30% header/cookie governance + 30% content/transparency signals.</t>
  </si>
  <si>
    <t>Trust and credibility signals support customer confidence, product consideration, retailer handoff, and conversion readiness.</t>
  </si>
  <si>
    <t>Brand Consistency Across Channels</t>
  </si>
  <si>
    <t>Brand consistency score reflects whether digital, social, search, and product/page signals present a coherent brand experience.
Formula: 30% message/naming consistency + 25% visual/content consistency + 20% channel alignment + 15% accessibility/quality + 10% guideline proof.</t>
  </si>
  <si>
    <t>Brand consistency across channels protects recognition, trust, and clarity across customer touchpoints.</t>
  </si>
  <si>
    <t>Online Reputation Score</t>
  </si>
  <si>
    <t>Google Business + G2 + Trustpilot</t>
  </si>
  <si>
    <t>Online reputation score reflects public review quality, review volume, response posture, and credibility across available platforms.
Formula: 30% rating quality + 25% review volume/recency + 20% response/management signals + 15% platform coverage + 10% sentiment risk.</t>
  </si>
  <si>
    <t>Online reputation score supports social proof, customer confidence, and conversion confidence.</t>
  </si>
  <si>
    <t>Lysol DHA Metric (53 scoreable of 68 metrics)</t>
  </si>
  <si>
    <t>Score</t>
  </si>
  <si>
    <t>Report Summary</t>
  </si>
  <si>
    <t>Findings</t>
  </si>
  <si>
    <t>Recommendations / Next Steps</t>
  </si>
  <si>
    <t>PageSpeed Insights + Lighthouse + CrUX</t>
  </si>
  <si>
    <t>GTmetrix, WebPageTest, and Catchpoint waterfall/filmstrip reports</t>
  </si>
  <si>
    <t>Desktop performance is slowing key discovery and product journeys across the homepage, PDP, and PLP. The heaviest pressure is on the PLP, where slow rendering and high blocking time can make product browsing feel delayed and reduce readiness for retailer handoff. For the business, this is a quality-of-journey issue that can affect organic, paid, and product-led traffic before users reach the next buying action.</t>
  </si>
  <si>
    <t>1. Desktop/web performance is below target across key templates.
2. Desktop Lighthouse performance is 47 on the homepage, 49-51 on PDP samples, and 37 on the Lysol Disinfectant Spray PLP.
3. Desktop lab LCP is above target on the homepage and PDP at 3.2s-3.4s, and severe on the Lysol Disinfectant Spray PLP at 5.1s.
4. Desktop TBT is high: homepage 870ms, PDP 630-660ms, and Lysol Disinfectant Spray PLP 3,540ms.
5. The business impact is strongest where slower templates interrupt product discovery, PDP/PLP browsing, campaign landing-page efficiency, and retailer-handoff readiness.</t>
  </si>
  <si>
    <t>1. Prioritize desktop render-path and JavaScript cleanup for the homepage, Lysol Toilet Bowl Lime &amp; Rust Remover 24oz PDP, and Lysol Disinfectant Spray PLP.
2. Reduce render-blocking font/CSS requests and defer non-critical tags.
3. Trim app/vendor bundles where possible.
4. Retest desktop LCP, Performance score, and TBT after each template change.
5. Measurement focus: improvement in LCP, TBT, and Lighthouse Performance should improve journey quality and support discovery, product consideration, and retailer-handoff readiness.
6. Business value connection: connect performance retests to GA4 engagement, product-click, and retailer-handoff events so score movement can be tied to discovery quality and conversion movement.
7. Additional data needed: GA4 page-level sessions, engagement, product-card clicks, Where-to-Buy or retailer-click events, and campaign landing-page performance by template.</t>
  </si>
  <si>
    <t>PageSpeed Insights mobile + Lighthouse mobile + CrUX</t>
  </si>
  <si>
    <t>GTmetrix, WebPageTest, and Catchpoint mobile/lab diagnostics</t>
  </si>
  <si>
    <t>Mobile performance is the largest Core Web Vitals gaps in the sampled journey. Slow mobile rendering across the homepage, PDP, and PLP can create friction before shoppers finish comparing products, checking claims, or moving toward a retailer. Because household-brand discovery often starts on mobile, this gap can weaken both product consideration and purchase intent.</t>
  </si>
  <si>
    <t>1. Mobile load performance is the most severe CWV gap.
2. Mobile Lighthouse performance is 28 on the homepage, 20 on the Lysol Laundry Sanitizer Crisp Linen 41 oz PDP, 26 on the Lysol Toilet Bowl Lime &amp; Rust Remover 24oz PDP, and 33 on the Lysol Disinfectant Spray PLP.
3. Mobile lab LCP is critical across the same pages: 14.7s, 17.6s, 15.1s, and 18.0s.
4. Mobile FCP and Speed Index are slow, and TBT remains high at 870ms-1,230ms.
5. The business impact is strongest where mobile users are trying to compare products, evaluate claims, find availability, or move toward retailer handoff.</t>
  </si>
  <si>
    <t>1. Treat mobile LCP as the first remediation lane.
2. Optimize true LCP images, responsive media, and font loading.
3. Improve OneTrust/GTM sequencing, third-party tag deferral, and PDP/PLP template payload.
4. Re-run PSI/Lighthouse for homepage, Lysol Laundry Sanitizer Crisp Linen 41 oz PDP, Lysol Toilet Bowl Lime &amp; Rust Remover 24oz PDP, and Lysol Disinfectant Spray PLP after fixes.
5. Measurement focus: improvement in mobile LCP, FCP, Speed Index, TBT, and Lighthouse Performance should improve mobile journey quality and support product consideration, discovery, and retailer-handoff readiness.
6. Business value connection: connect mobile performance movement to GA4 mobile engagement, PDP/PLP depth, product-card clicks, Where-to-Buy clicks, and retailer-handoff events.
7. Additional data needed: mobile traffic share, page-level mobile journeys, product-click events, retailer-click events, campaign landing-page performance, and conversion data by device.</t>
  </si>
  <si>
    <t>PageSpeed Insights / CrUX INP + Lighthouse diagnostics</t>
  </si>
  <si>
    <t>Chrome DevTools performance trace for deeper interaction debugging</t>
  </si>
  <si>
    <t>Desktop interaction responsiveness is a relative strength, with INP field data meeting the good threshold across the sampled homepage, PDP, and PLP. The underlying risk is heavy JavaScript and high blocking time, especially on the PLP, which could make interactions feel less reliable as pages or tags change. For stakeholders, this is a strength to protect while improving the heavier performance issues around it.</t>
  </si>
  <si>
    <t>1. Desktop INP is strong in field data: homepage 104ms, PDP 83-85ms, and Lysol Disinfectant Spray PLP 104ms.
2. All sampled desktop INP values are within the good threshold.
3. The main risk is high desktop TBT and heavy JavaScript execution, especially Lysol Disinfectant Spray PLP desktop TBT at 3,540ms.
4. The business impact is strongest where delayed interactions could affect navigation, product comparison, filtering, form completion, or retailer-handoff behavior.</t>
  </si>
  <si>
    <t>1. Keep INP monitoring active across homepage, PDP, and PLP journeys.
2. Reduce main-thread work by auditing long tasks, removing unused JavaScript, and deferring non-critical tags.
3. Add desktop TBT checks to release validation so current INP strength is protected.
4. Measurement focus: maintaining good INP while reducing TBT should protect interaction quality and reduce regression risk across product journeys.
5. Business value connection: connect interaction health to GA4 engagement depth, filter usage, product-card interactions, form starts/completions, and retailer-handoff events.
6. Additional data needed: page-level interaction events, filter/search usage, form interaction data, retailer-click events, and release-level performance regression tracking.</t>
  </si>
  <si>
    <t>PageSpeed Insights mobile / CrUX INP + Lighthouse diagnostics</t>
  </si>
  <si>
    <t>Chrome DevTools long-task analysis for deeper mobile interaction debugging</t>
  </si>
  <si>
    <t>Mobile interaction responsiveness is currently strong across the sampled homepage, PDP, and PLP journeys. As mobile speed issues are addressed, this strength needs to be preserved so users can continue to browse, compare products, and move toward retailer handoff without added friction.</t>
  </si>
  <si>
    <t>1. Mobile INP passes field thresholds across the baseline samples.
2. Mobile INP is 177ms on the homepage, 119ms on the Lysol Laundry Sanitizer Crisp Linen 41 oz PDP, 117ms on the Lysol Toilet Bowl Lime &amp; Rust Remover 24oz PDP, and 131ms on the Lysol Disinfectant Spray PLP.
3. High mobile TBT means interaction quality could regress if script weight is not controlled.
4. The business impact is strongest where tap delay or unstable interaction could affect product exploration, product-card engagement, form completion, and retailer handoff.</t>
  </si>
  <si>
    <t>1. Preserve the good mobile INP baseline while fixing LCP and TBT.
2. Validate tap and interaction latency after tag, consent, PDP widget, listing, and bundle changes.
3. Confirm CWV fixes do not create new interaction delays.
4. Measurement focus: maintaining good mobile INP while reducing TBT should protect mobile interaction quality across discovery, PDP, and PLP journeys.
5. Business value connection: connect interaction health to GA4 mobile engagement, product-card clicks, Where-to-Buy clicks, form interactions, and retailer-handoff events.
6. Additional data needed: mobile interaction-event tracking, product-card click depth, filter/search usage, form starts/completions, retailer-click events, and release-level regression tracking.</t>
  </si>
  <si>
    <t>PageSpeed Insights / CrUX CLS + Lighthouse diagnostics</t>
  </si>
  <si>
    <t>WebPageTest/GTmetrix filmstrip and layout-shift review</t>
  </si>
  <si>
    <t>Desktop visual stability is a current strength across the sampled homepage, PDP, and PLP journeys. Low layout shift helps pages feel steady while users read claims, compare products, interact with media, and move toward retailer handoff. This is a positive quality signal to preserve as performance, tag, content, and template changes are made.</t>
  </si>
  <si>
    <t>1. Desktop CLS is healthy in the baseline.
2. Lab CLS is low on homepage 0.014, Lysol Laundry Sanitizer Crisp Linen 41 oz PDP 0.012, Lysol Toilet Bowl Lime &amp; Rust Remover 24oz PDP 0.011, and Lysol Disinfectant Spray PLP 0.02.
3. Desktop visual stability is a strength to preserve while performance fixes are made.
4. The business impact is strongest where stable layouts help users read product information, compare options, avoid accidental clicks, and continue toward retailer handoff.</t>
  </si>
  <si>
    <t>1. Maintain explicit dimensions and stable layout rules for hero, PDP media, listing cards, consent banners, and dynamic widgets.
2. Include desktop CLS regression checks in template and image-delivery releases.
3. Validate layout stability after content, media, tag, consent, PDP widget, and PLP listing changes.
4. Measurement focus: maintaining low CLS should protect browsing confidence and reduce accidental interaction across homepage, PDP, and PLP journeys.
5. Business value connection: connect visual stability to engagement depth, product-card interactions, PDP media engagement, Where-to-Buy clicks, and retailer-handoff events.
6. Additional data needed: product-card click depth, PDP media engagement, retailer-click events, and release-level CLS regression tracking.</t>
  </si>
  <si>
    <t>PageSpeed Insights mobile / CrUX CLS + Lighthouse diagnostics</t>
  </si>
  <si>
    <t>Mobile visual stability is a clear experience gap across the sampled homepage, PDP, and PLP journeys. Layout shifts on small screens can interrupt reading, product comparison, image viewing, and retailer-handoff actions, which makes the mobile journey feel less controlled. For shoppers, this can reduce trust and increase friction at moments when they are evaluating products or deciding where to buy.</t>
  </si>
  <si>
    <t>1. Mobile CLS is a confirmed baseline failure across page types.
2. Lab CLS is 0.206 on the homepage, 0.443 on the Lysol Laundry Sanitizer Crisp Linen 41 oz PDP, 0.228 on the Lysol Toilet Bowl Lime &amp; Rust Remover 24oz PDP, and 0.194 on the Lysol Disinfectant Spray PLP.
3. Field CLS also fails on key samples: homepage 0.26, PDP 0.27, and PLP 0.28.
4. The business impact is strongest where layout shifts disrupt product reading, media viewing, ratings/reviews, product-card taps, form interactions, or retailer handoff.</t>
  </si>
  <si>
    <t>1. Prioritize mobile layout stability alongside LCP.
2. Reserve space for hero/product/listing media, ratings and commerce widgets, consent modules, banners, and dynamic content.
3. Retest homepage, PDP, and PLP mobile CLS after each template fix.
4. Measurement focus: lowering mobile CLS should improve mobile browsing confidence and reduce accidental interaction across discovery, PDP, and PLP journeys.
5. Business value connection: connect CLS movement to mobile engagement depth, product-card interactions, PDP media engagement, Where-to-Buy clicks, and retailer-handoff events.
6. Additional data needed: mobile product-card click depth, PDP media engagement, form interactions, retailer-click events, and release-level CLS regression tracking.</t>
  </si>
  <si>
    <t>Lighthouse Best Practices reports</t>
  </si>
  <si>
    <t>BuiltWith, Wappalyzer, and Chrome DevTools issue signals</t>
  </si>
  <si>
    <t>Coding best-practices quality is uneven across the sampled homepage, PDP, and PLP pages. Some product and listing journeys perform better than the homepage sample, but deprecated browser APIs, cookie exposure, console errors, and third-party governance issues are still visible. For the business, this creates avoidable risk around page reliability, consent confidence, and consistency across product discovery and retailer-handoff journeys.</t>
  </si>
  <si>
    <t>1. Best Practices evidence is mixed by page type.
2. Homepage and legacy Lysol Laundry Sanitizer Crisp Linen 41 oz PDP score 54/100 on both mobile and desktop.
3. The main issues are deprecated browser API usage and heavy third-party cookie exposure: 51 homepage cookies and 59 legacy PDP cookies.
4. The Lysol Toilet Bowl Lime &amp; Rust Remover 24oz PDP and Lysol Disinfectant Spray PLP improve to 77/100, but still flag deprecated API usage, browser console errors, and third-party resource governance.
5. Competitively, Lysol is behind homepage benchmarks such as Mr. Clean, but leads the available PDP and PLP Best Practices sets at 77.
6. The business impact is strongest where script, cookie, or browser issues affect trust, page reliability, consent behavior, or the consistency of product journeys.</t>
  </si>
  <si>
    <t>1. Prioritize shared script and browser-governance cleanup.
2. Replace deprecated API usage and investigate console errors and failed requests.
3. Reduce unnecessary third-party resources and cookies.
4. Validate consent/tag behavior across homepage, PDP, and PLP.
5. Retest Best Practices after cleanup and keep PDP/PLP gains from regressing.
6. Measurement focus: improving Best Practices scores, deprecated API status, console health, cookie footprint, and third-party resource governance should improve journey reliability and reduce avoidable browser risk.
7. Business value connection: connect cleanup to consent confidence, lower defect risk, smoother page interaction, and more reliable product/retailer-handoff journeys.
8. Additional data needed: tag inventory ownership, cookie classification, consent-rule mapping, third-party vendor purpose, console-error monitoring, and release-level Best Practices regression tracking.</t>
  </si>
  <si>
    <t>CyScan, CDN77 TLS checker, and cookie/security-header screenshots</t>
  </si>
  <si>
    <t>Web security shows a strong foundation across the sampled homepage, PDP, and PLP pages, with healthy transport security and low visible threat-risk signals. The remaining gap is security-policy depth, especially around browser policy controls and third-party script governance. For the business, this is less about an immediate trust failure and more about strengthening confidence in data handling, page reliability, and product journeys that depend on external scripts, consent tools, and retailer pathways.</t>
  </si>
  <si>
    <t>1. Web security is strong at the transport and core-header layer, but not fully hardened.
2. Homepage checks show TLS 1.3/1.2 enabled, deprecated TLS/SSL disabled, Qualys SSL Labs A+, securityheaders.com A, and low CyScan CTI risk at 11.1/100.
3. The main gap is policy maturity: HTTP Security Headers Analyzer is 55.9% / C.
4. Content Security Policy (CSP) warnings include unsafe-inline and unsafe-eval.
5. Cross-Origin Embedder Policy (COEP), Cross-Origin Opener Policy (COOP), and Cross-Origin Resource Policy (CORP) hardening is missing or low-depth.
6. PDP and PLP repeat the same pattern with securityheaders.com A, low CTI risk, and 55.9% / C header-depth score.
7. The business impact is strongest where third-party scripts, consent behavior, media, commerce widgets, and retailer pathways influence trust and page reliability.</t>
  </si>
  <si>
    <t>1. Treat security remediation as policy hardening rather than emergency TLS repair.
2. Tighten Content Security Policy (CSP) in stages and reduce unsafe-inline and unsafe-eval where feasible.
3. Validate third-party script allowlists.
4. Assess Cross-Origin Embedder Policy (COEP), Cross-Origin Opener Policy (COOP), Cross-Origin Resource Policy (CORP), upgrade-insecure-requests, and reporting endpoints.
5. Retest homepage, PDP, and PLP after tag, consent, media, and commerce dependencies are checked.
6. Measurement focus: improvement should be visible through stronger header-depth scoring, cleaner CSP posture, reduced unsafe directives, and clearer third-party script governance.
7. Business value connection: connect security-policy hardening to customer trust, consent confidence, page reliability, and lower risk around product and retailer-handoff journeys.
8. Additional data needed: security-header ownership, CSP allowlist ownership, third-party script inventory, consent-tool configuration, tag/vendor purpose mapping, and release-level security regression tracking.</t>
  </si>
  <si>
    <t>Web security protects customer trust, data-handling confidence, page reliability, and retailer-handoff readiness.</t>
  </si>
  <si>
    <t>Not scored - no mobile app in current scope</t>
  </si>
  <si>
    <t>Mobile app security tools such as MobSF/Ostorlab only if an app is added to scope</t>
  </si>
  <si>
    <t>Mobile app security is not part of the current scored baseline. The available security review is focused on the web experience across homepage, PDP, and PLP pages, including transport security, browser policies, consent, cookies, and third-party scripts. For stakeholders, this means the current security view should be read as web-only unless a native app or app-like mobile surface is formally added to scope.</t>
  </si>
  <si>
    <t>1. No native mobile app security review is present in the baseline.
2. The supplied security review is web-focused: TLS, security headers, CyScan, Content Security Policy (CSP), cross-origin policy, consent, cookie, and third-party script posture across homepage, PDP, and PLP.
3. This row should remain not scored unless a native app or app-like mobile surface is explicitly added to scope.
4. The business impact becomes relevant only if customers use a mobile app for product discovery, account activity, loyalty, purchase support, or retailer handoff.</t>
  </si>
  <si>
    <t>1. Keep this metric out of the scored web baseline for now.
2. If a native app becomes in scope, run a dedicated mobile app security assessment.
3. Cover app permissions, SDK/dependency risk, transport security, certificate handling, local storage, privacy controls, and release/version posture.
4. Measurement focus: app security movement should be measured separately from web security using app-specific controls, dependency posture, privacy behavior, and release risk.
5. Business value connection: connect app security posture to customer trust, privacy confidence, account safety, loyalty participation, and any purchase-support or retailer-handoff behavior inside the app.
6. Additional data needed: app inventory, app-store package details, SDK/dependency list, mobile release history, privacy/data collection map, authentication scope, and mobile analytics or crash reporting access.</t>
  </si>
  <si>
    <t>UptimeRobot + Pingdom speed tests</t>
  </si>
  <si>
    <t>DNSChecker and page-level infrastructure reports for PDP/PLP</t>
  </si>
  <si>
    <t>Infrastructure availability appears healthy for the homepage, with strong uptime and fast monitor response during the captured period. The broader business question is whether PDP and PLP journeys have the same level of delivery consistency, cache efficiency, and response reliability. This is about protecting always-available discovery and product paths, especially when traffic comes from campaigns, search, or retailer-intent journeys.</t>
  </si>
  <si>
    <t>1. Homepage availability and DNS look stable in the captured checks.
2. UptimeRobot shows 100% availability in the captured 7-day and 30-day views, and DNS propagation is consistent.
3. The score is moderated because PDP and PLP infrastructure coverage is not complete.
4. Page-level uptime, DNS, Pingdom, CDN/cache behavior, request count, and payload efficiency still need validation.
5. Business value gap: stable infrastructure protects discovery and retailer-handoff paths, but incomplete page-level monitoring limits confidence.</t>
  </si>
  <si>
    <t>1. Add infrastructure captures for the sampled PDP and PLP journeys.
2. Include UptimeRobot or equivalent route monitors, DNSChecker, and Pingdom/WebPageTest-style load profiles.
3. Use homepage findings as the first backlog for cache headers, compression, request reduction, CDN behavior, third-party domain review, and asset delivery.
4. Re-score once page-level PDP/PLP checks are available.
5. Measurement focus: improvement should be visible through uptime consistency, response time, DNS stability, cache/header quality, page weight, request count, and delivery timing by page type.
6. Business value connection: connect infrastructure reliability to campaign landing-page dependability, product discovery continuity, retailer-handoff readiness, and lower risk during traffic spikes.
7. Additional data needed: PDP/PLP route monitors, CDN/cache configuration visibility, server or edge logs if available, incident history, traffic spike windows, and release-level infrastructure regression tracking.</t>
  </si>
  <si>
    <t>DataLayer Checker + DevTools cookie/consent review</t>
  </si>
  <si>
    <t>OneTrust/Optanon evidence and manual privacy governance review</t>
  </si>
  <si>
    <t>Consent and data-layer activity are visible across the sampled homepage, PDP, and PLP pages, which gives the digital experience a measurable foundation. The main gap is confidence in governance: cookie behavior, consent gating, event quality, and product/listing payloads still need stronger validation. This matters because privacy confidence and clean measurement both affect trust, campaign reporting, product-journey insight, and the ability to connect digital activity to retailer-handoff behavior.</t>
  </si>
  <si>
    <t>1. Public/front-end checks confirm consent and dataLayer activity across the assessed pages.
2. The homepage, PDP, and PLP show OneTrust/Optanon and visible event activity.
3. Cookie volume and consent behavior still need a formal inventory by purpose, owner, expiry, consent state, and category.
4. PDP and PLP cookie captures, product-event quality, list-event quality, and server-side tagging ownership are not fully proven.
5. Business value gap: cleaner privacy and consent governance protects customer trust and improves the quality of marketing and retailer-handoff measurement.</t>
  </si>
  <si>
    <t>1. Create a cookie and data-layer source of truth for the homepage, Lysol Toilet Bowl Lime &amp; Rust Remover 24oz PDP, and Lysol Disinfectant Spray PLP.
2. Complete PDP and PLP cookie captures.
3. Validate consent gating before marketing or analytics cookie creation.
4. Confirm server-side GTM ownership, define an event taxonomy, and verify PDP product payloads and PLP view_item_list payloads against reporting requirements.
5. Measurement focus: improvement should be visible through cleaner consent sequencing, validated cookie categories, stronger event taxonomy, accurate PDP product payloads, and reliable PLP list-event payloads.
6. Business value connection: connect privacy and data-quality improvements to consent confidence, cleaner campaign reporting, better product-journey insight, and more reliable retailer-handoff measurement.
7. Additional data needed: OneTrust/CMP configuration or export, GTM/container export or access, cookie inventory, server-side GTM ownership details, analytics reporting requirements, and legal/privacy ownership inputs.</t>
  </si>
  <si>
    <t>Lighthouse Accessibility + Silktide + WAVE</t>
  </si>
  <si>
    <t>AccessibilityChecker, axe issue export, and manual keyboard/screen-reader checks</t>
  </si>
  <si>
    <t>Accessibility scores are strong in automated testing, but the sampled homepage, PDP, and PLP pages still show issues that can affect real user access. Image alternatives, page landmarks, semantics, ARIA patterns, and manual keyboard or screen-reader behavior need deeper validation. For the business, accessibility is both a trust and reach issue: it affects whether more customers can confidently discover products, understand claims, and continue through retailer-handoff journeys.</t>
  </si>
  <si>
    <t>1. Automated Lighthouse accessibility scores are strong, but the baseline also shows issues that need validation beyond Lighthouse.
2. The homepage scores 94 mobile and 94 desktop, but WAVE shows 18 errors and 55 alerts, AccessibilityChecker shows 8 critical issues plus 22 manual checks, and axe flags image-alt, redundant-alt, landmark, and region issues.
3. The Lysol Toilet Bowl Lime &amp; Rust Remover 24oz PDP scores 90 mobile and 91 desktop, with axe showing 1 critical, 5 serious, and 1 moderate issue tied to image alternatives and repeated list-semantics patterns.
4. The Lysol Disinfectant Spray PLP scores 94 mobile and 94 desktop, but still has critical image-alt, landmark, ARIA/CMS imagery, and manual keyboard/focus/screen-reader validation needs.
5. The business impact is strongest where accessibility issues affect product understanding, image meaning, navigation, form interaction, product comparison, or retailer handoff.</t>
  </si>
  <si>
    <t>1. Prioritize shared template and component remediation for the homepage, Lysol Toilet Bowl Lime &amp; Rust Remover 24oz PDP, and Lysol Disinfectant Spray PLP.
2. Address product/listing image alt rules, semantic list markup, labels, heading structure, landmarks, ARIA uniqueness, contrast tokens, and cookie/banner interactions.
3. Re-run Lighthouse, axe, WAVE or Silktide, AccessibilityChecker, and manual keyboard/focus/screen-reader checks after fixes.
4. Measurement focus: improvement should be visible through fewer critical/serious accessibility issues, stronger image-alt coverage, cleaner landmark/ARIA patterns, and successful manual keyboard/focus/screen-reader checks.
5. Business value connection: connect accessibility improvements to broader customer reach, product understanding, trust, lower compliance risk, and smoother product-to-retailer journeys.
6. Additional data needed: manual keyboard/focus/screen-reader test results, component/CMS ownership inputs, accessibility acceptance criteria, image-alt governance rules, and release-level accessibility regression tracking.</t>
  </si>
  <si>
    <t>BuiltWith + Wappalyzer technology profile reports</t>
  </si>
  <si>
    <t>Runtime/package inventory or platform admin access for exact version confirmation</t>
  </si>
  <si>
    <t>The digital platform appears to run on a modern web stack across the sampled homepage, PDP, and PLP pages. The gap is not the visible technology footprint itself, but the lack of clear version, ownership, and update-control visibility from the public baseline. For the business, this matters because platform and tag governance affects supportability, security readiness, performance stability, privacy controls, and the continuity of product and retailer-handoff journeys.</t>
  </si>
  <si>
    <t>1. Public technology profiling identifies a consistent modern stack across the assessed pages.
2. The baseline does not prove exact deployed versions, ownership, or update controls.
3. The homepage, Lysol Toilet Bowl Lime &amp; Rust Remover 24oz PDP, and Lysol Disinfectant Spray PLP all show React/Gatsby, Contentstack, Webpack, PWA/Open Graph, HTTP/3, OneTrust/Optanon, GTM/GA, and a broad analytics/advertising tag surface.
4. PDP and PLP checks also show commerce/data integrations such as PriceSpider and Salesforce Audience Studio.
5. The business impact is strongest where ungoverned technology, tags, SDKs, or platform updates affect supportability, performance, privacy, security, or retailer-handoff continuity.</t>
  </si>
  <si>
    <t>1. Create a maintained technology inventory for the homepage, Lysol Toilet Bowl Lime &amp; Rust Remover 24oz PDP, and Lysol Disinfectant Spray PLP.
2. Map React/Gatsby, Contentstack, consent tooling, GTM/GA, PriceSpider, Salesforce Audience Studio, pixels, and third-party scripts to owners and deployed versions.
3. Track support/EOL status and approval rules for each major technology or tag.
4. Tie version updates and tag additions to release gates, CWV budgets, privacy controls, and security header validation.
5. Measurement focus: improvement should be visible through a maintained platform inventory, clear owner mapping, version/update visibility, EOL tracking, and release-gate coverage for major tags and integrations.
6. Business value connection: connect platform governance to reliable product journeys, stable campaign landing pages, lower operational risk, stronger privacy/security control, and more dependable retailer-handoff paths.
7. Additional data needed: CMS/platform inventory, package or release inventory, tag/SDK owner map, GTM export or access, support/EOL review, and release/change-management records.</t>
  </si>
  <si>
    <t>Not scored - release history not available in current evidence</t>
  </si>
  <si>
    <t>Release notes, deployment logs, regression test history, and incident/change records</t>
  </si>
  <si>
    <t>Release stability is not scored from the current public baseline because operational release history is not available. The sampled pages still show several areas where future releases could create visible customer-impacting regressions, including performance, SEO, accessibility, privacy/data-layer behavior, security policy, product content, and listing behavior. This matters because improvements only create business value when they remain stable after campaign, content, tag, and platform changes.</t>
  </si>
  <si>
    <t>1. Release regression risks are visible, but operational release records are not available to confirm release stability.
2. For the homepage, risk areas include CWV failures, Best Practices 54, Content Security Policy (CSP) and cross-origin security gaps, crawl/SEO defects, cookie/data-layer governance gaps, and accessibility findings.
3. For the Lysol Toilet Bowl Lime &amp; Rust Remover 24oz PDP, release gates should cover Contentstack/Gatsby, PriceSpider, consent, product data, image/gallery, content, reviews/ratings, and schema readiness.
4. For the Lysol Disinfectant Spray PLP, release gates should cover listing rendering, filters/sort, product cards, links, image-alt, metadata, schema, analytics events, and consent behavior.
5. The business impact is strongest where release changes affect campaign landing pages, product discovery, PDP/PLP browsing, data quality, trust signals, or retailer-handoff paths.</t>
  </si>
  <si>
    <t>1. Create a release gate matrix for the homepage, Lysol Toilet Bowl Lime &amp; Rust Remover 24oz PDP, and Lysol Disinfectant Spray PLP.
2. Include CWV, Best Practices, security headers, Content Security Policy (CSP), SEO crawl checks, accessibility, cookie/data-layer validation, product/listing rendering, analytics events, consent behavior, and third-party tag changes.
3. Define rollback owners and keep an evidence log for each release.
4. Measurement focus: release stability should be measured through defect trends, rollback frequency, regression checks, release QA sign-off, incident history, and post-release movement in key page-quality signals.
5. Business value connection: connect release stability to protected campaign performance, consistent product journeys, reliable measurement, lower operational risk, and sustained retailer-handoff readiness.
6. Additional data needed: release calendar, defect/rollback log, incident history, deployment ownership, regression checklist, QA sign-off records, and post-release monitoring reports.</t>
  </si>
  <si>
    <t>Not scored - peak-load history not available in current evidence</t>
  </si>
  <si>
    <t>Synthetic monitoring, traffic/load history, CDN logs, and incident data</t>
  </si>
  <si>
    <t>Peak usage reliability is not scored from the current baseline because availability checks do not prove high-traffic readiness. The sampled homepage, PDP, and PLP pages show useful uptime and delivery signals, but peak demand requires evidence that product discovery, listing views, product pages, consent behavior, tags, and retailer-handoff paths remain stable under heavier traffic. This is important for campaigns, seasonal demand, and moments when purchase intent is highest.</t>
  </si>
  <si>
    <t>1. Availability and delivery signals are useful, but they do not prove peak-traffic readiness.
2. The homepage has 100% uptime across captured 7-day and 30-day views, 103ms average monitor response, stable DNS, and a Pingdom load snapshot of 2.45s.
3. The homepage does not have a peak-load or synthetic transaction test in the baseline.
4. The Lysol Toilet Bowl Lime &amp; Rust Remover 24oz PDP has page-level reports, a fast 363ms Pingdom snapshot, stable DNS, and a new monitor with limited history.
5. The Lysol Disinfectant Spray PLP has 100% uptime in captured views and a 416ms Pingdom snapshot, but no response-time trend or high-traffic listing-page validation.
6. The business impact is strongest during campaigns, seasonal demand, high-intent search traffic, promotion windows, product launches, or sudden spikes in disinfecting/cleaning needs.</t>
  </si>
  <si>
    <t>1. Build a peak-readiness validation plan for the homepage, Lysol Toilet Bowl Lime &amp; Rust Remover 24oz PDP, and Lysol Disinfectant Spray PLP.
2. Let PDP/PLP monitors mature and add synthetic checks for product availability, listing availability, filters, images, product-card rendering, and consent/tag behavior.
3. Define thresholds for response time, error rate, availability, page-load degradation, escalation, and incident ownership.
4. Measurement focus: peak reliability should be measured through response-time trends, error rates, availability under load, synthetic journey success, CDN/cache behavior, and post-spike degradation.
5. Business value connection: connect peak reliability to protected campaign traffic, seasonal product demand, uninterrupted product discovery, reliable listing/product pages, and retailer-handoff continuity.
6. Additional data needed: monitor exports with history, synthetic journey checks, alert thresholds, CDN/cache scaling details, campaign calendar, seasonal traffic patterns, incident history, and load-test results.</t>
  </si>
  <si>
    <t>DataLayer Checker + DevTools dataLayer review</t>
  </si>
  <si>
    <t>GTM/GA4 export, OneTrust consent events, and server-side GTM details</t>
  </si>
  <si>
    <t>Tracking signals are present across the sampled homepage, PDP, and PLP pages, which means the experience has a workable measurement foundation. The main issue is not whether events exist, but whether product, list, consent, and server-side tagging signals are clean enough to support confident reporting. This matters because business teams need reliable journey data to understand product discovery, content engagement, campaign quality, and retailer-handoff behavior.</t>
  </si>
  <si>
    <t>1. Public checks confirm that dataLayer and GTM-style tracking signals are present across homepage, PDP, and PLP.
2. The homepage and PDP show 25+ visible events, and the PLP shows 31+ visible events plus view_item_list behavior.
3. The score is moderated because event quality, product payload detail, list-event quality, consent sequencing, and server-side tagging ownership are not fully proven.
4. Repeated timer/scroll events and high tag volume create analytics-noise and governance risk.
5. Business value gap: better tracking quality shows which product and category journeys support retailer handoff and purchase intent.</t>
  </si>
  <si>
    <t>1. Create a tracking QA checklist for the homepage, Lysol Toilet Bowl Lime &amp; Rust Remover 24oz PDP, and Lysol Disinfectant Spray PLP.
2. Validate consent events, product events, list events, item IDs, item names, categories, positions, list names, duplicate/noisy timer events, and server-side GTM behavior.
3. Align GTM/GA4 payloads with reporting needs and retest after tag or template changes.
4. Measurement focus: improvement should be visible through cleaner event taxonomy, validated product/list payloads, correct consent sequencing, reduced duplicate/noisy events, and clear server-side GTM behavior.
5. Business value connection: connect tracking quality to stronger attribution, cleaner campaign reporting, better product journey insight, personalization readiness, and more reliable retailer-handoff measurement.
6. Additional data needed: GTM/container export or access, GA4/event schema export, server-side GTM ownership details, analytics reporting requirements, and downstream dashboard or attribution definitions.</t>
  </si>
  <si>
    <t>Live JSON-LD extraction + structured-data baseline checks</t>
  </si>
  <si>
    <t>Google Rich Results Test / Schema.org Validator as follow-up validation</t>
  </si>
  <si>
    <t>Structured data is present across the sampled homepage, PDP, and PLP pages, giving search engines and AI answer systems a foundation for understanding brand, page, breadcrumb, list, and product context. Rich-result and product-discovery readiness is still partial because product and listing details need deeper field-level validation. This matters for organic visibility, AI-search visibility, product understanding, and the likelihood that key product pages are interpreted correctly in discovery journeys.</t>
  </si>
  <si>
    <t>1. Structured data is present across the sampled experience, so this is a foundation rather than a complete gap.
2. The homepage has valid JSON-LD with WebPage, Organization, Article, BreadcrumbList, and ItemList signals.
3. The Lysol Toilet Bowl Lime &amp; Rust Remover 24oz PDP has valid JSON-LD and includes Product schema.
4. The Lysol Disinfectant Spray PLP has valid JSON-LD with page, breadcrumb, and list-style schema, but product/listing depth is limited.
5. Business value gap: better schema depth can improve how search engines and AI systems understand products, categories, and buying paths.</t>
  </si>
  <si>
    <t>1. Validate JSON-LD for the homepage, Lysol Toilet Bowl Lime &amp; Rust Remover 24oz PDP, and Lysol Disinfectant Spray PLP using saved validator outputs.
2. Keep the existing Organization, WebPage, BreadcrumbList, and ItemList foundation, but strengthen governance and repeatable QA.
3. Review PDP Product schema fields for offers, image, availability, identifiers, brand, and review/rating proof where visible source evidence supports it.
4. Improve PLP category/listing schema depth so product-list mapping better supports search and AI understanding.
5. Add schema checks to shared Gatsby/Contentstack PDP and PLP release QA so template changes do not regress JSON-LD quality.
6. Measurement focus: improvement should be visible through valid structured-data output, stronger product/listing field coverage, fewer schema warnings, and better page eligibility for rich-result or AI answer reuse.
7. Business value connection: connect structured-data quality to organic visibility, AI-search visibility, product discovery, product-page confidence, and higher-quality acquisition paths.
8. Additional data needed: saved Rich Results or Schema.org validator outputs, structured-data crawl export, product/listing property review, CMS/template ownership, and Search Console enhancement/rich-result visibility where available.</t>
  </si>
  <si>
    <t>Semrush Site Audit + Lighthouse SEO reports</t>
  </si>
  <si>
    <t>Fresh Screaming Frog crawl recommended for full crawl validation</t>
  </si>
  <si>
    <t>Site architecture and crawl health appear incomplete across key discovery and product paths. The homepage has several basic SEO structure issues, while PDP and PLP pages still need full validation for metadata, headings, canonicals, links, image-alt coverage, and crawl behavior. This matters because search engines and AI answer systems need a clean, consistent understanding of important pages before those pages can reliably support organic discovery, product consideration, and acquisition quality.</t>
  </si>
  <si>
    <t>1. Search engines may not get a clean, consistent understanding of every important page.
2. The homepage has basic SEO structure issues: generic link text, image-alt gaps, low text-to-HTML, title/H1, and anchor-text cleanup.
3. The Lysol Toilet Bowl Lime &amp; Rust Remover 24oz PDP has not been fully checked for title, H1, meta description, canonical, and schema.
4. The Lysol Disinfectant Spray PLP is an important organic traffic page, but its metadata, canonical, headings, links, and image-alt coverage still need validation.
5. A fresh crawl export is not yet available to confirm whether there are broken links, redirect issues, duplicate/missing titles, duplicate/missing H1s, canonical issues, sitemap/robots gaps, or low-content pages.
6. The business impact is strongest where crawl or structure issues reduce organic discovery, product-page interpretation, AI/search understanding, and high-intent traffic quality.</t>
  </si>
  <si>
    <t>1. Run a fresh crawl across homepage, PDP, PLP, and high-traffic product/category pages.
2. Fix missing or duplicate titles, H1s, meta descriptions, and canonicals.
3. Clean up generic link text and anchor text.
4. Fix image-alt gaps on product/category templates.
5. Check redirects and broken links.
6. Confirm sitemap and robots.txt allow the right pages to be crawled and indexed.
7. Add these checks to regular SEO QA before page/template releases.
8. Measurement focus: improvement should be visible through cleaner crawl exports, fewer broken links/redirect issues, stronger metadata coverage, cleaner canonicals, better heading consistency, and confirmed sitemap/robots alignment.
9. Business value connection: connect crawl health to organic discovery, AI/search understanding, product-page visibility, better acquisition quality, and reduced leakage from high-intent search journeys.
10. Additional data needed: fresh crawl export, Search Console coverage/indexing data, sitemap/robots review, redirect map, page-priority list, and organic landing-page performance by template.</t>
  </si>
  <si>
    <t>Fresh Screaming Frog/Ahrefs crawl recommended for redirect and error validation</t>
  </si>
  <si>
    <t>Error and redirect health shows cleanup needs that can affect both search visibility and user continuity. Crawl issues, redirect signals, external errors, and unvalidated PDP/PLP paths can create friction between discovery, product evaluation, and retailer-handoff journeys. This matters because broken or unclear paths can weaken organic acquisition, reduce trust, and interrupt users before they reach the next intended action.</t>
  </si>
  <si>
    <t>1. Error and redirect health is moderate, not clean.
2. The SEMrush site audit shows crawl health issues that need cleanup, including 1 error, 4 warnings, and 8 notices.
3. Release-risk notes also call out redirect and external 403 signals that should be reviewed.
4. PDP and PLP redirect, canonical, broken-link, and crawl-path validation is not complete.
5. Business value gap: clean error and redirect handling protects search equity and prevents dead ends before product or retailer handoff.</t>
  </si>
  <si>
    <t>1. Run a fresh crawl across the homepage, Lysol Toilet Bowl Lime &amp; Rust Remover 24oz PDP, Lysol Disinfectant Spray PLP, and other high-traffic product/category pages.
2. Fix broken links, external 403s, 4xx/5xx errors, redirect chains, and unnecessary redirects.
3. Confirm canonical URLs are correct for PDP and PLP pages.
4. Add redirect, broken-link, external-error, and canonical checks to release QA.
5. Track error cleanup in the SEO backlog and retest after template, navigation, tag, or content releases.
6. Measurement focus: improvement should be visible through fewer crawl errors, fewer redirect chains, fewer broken links, fewer external 403s, cleaner canonicals, and stable linked journeys.
7. Business value connection: connect error and redirect cleanup to stronger organic acquisition, smoother product discovery, better trust, fewer dead ends, and more reliable retailer-handoff paths.
8. Additional data needed: fresh crawl export, redirect map, canonical report, broken-link report, external 403 inventory, Search Console coverage data, and high-traffic landing-page priority list.</t>
  </si>
  <si>
    <t>Lighthouse diagnostics + WebPageTest/Catchpoint request analysis</t>
  </si>
  <si>
    <t>BuiltWith/Wappalyzer third-party technology inventory</t>
  </si>
  <si>
    <t>Third-party scripts are creating a visible tradeoff across the sampled homepage, PDP, and PLP pages. Marketing, analytics, consent, review, commerce, and media scripts support measurement and engagement, but unmanaged script weight can slow pages, increase cookie exposure, create console issues, and reduce confidence in consent behavior. This matters because product discovery, browsing quality, privacy trust, and retailer-handoff paths all depend on a controlled tag ecosystem.</t>
  </si>
  <si>
    <t>1. Third-party scripts are a major shared driver of speed, cookie, and governance risk across the pages.
2. CWV reports list Facebook, OneTrust, Trade Desk, Yahoo, Hotjar, GTM, Bazaarvoice, Contentstack media, and app/framework bundles as key waste or critical-path contributors.
3. The homepage has heavy third-party cookie exposure, with 51 cookies called out in Best Practices checks.
4. The Lysol Laundry Sanitizer Crisp Linen 41 oz PDP is heavier, with 59 cookies called out in Best Practices checks.
5. The Lysol Toilet Bowl Lime &amp; Rust Remover 24oz PDP and Lysol Disinfectant Spray PLP improve to Best Practices 77, but still show deprecated API usage, console errors, and third-party resource governance issues.
6. The Lysol Disinfectant Spray PLP has severe desktop TBT at 3,540ms, which makes listing-page JavaScript and third-party loading a priority risk.
7. The business impact is strongest where unmanaged tags affect speed, privacy trust, page reliability, analytics quality, product browsing, and retailer handoff.</t>
  </si>
  <si>
    <t>1. Create a third-party tag inventory for homepage, Lysol Toilet Bowl Lime &amp; Rust Remover 24oz PDP, and Lysol Disinfectant Spray PLP.
2. Map each tag or vendor to owner, purpose, consent category, page scope, load timing, and business value.
3. Remove unused or duplicate tags, pixels, and cookies.
4. Defer non-critical marketing, analytics, heatmap, review, and commerce scripts until after core content renders.
5. Validate OneTrust/GTM sequencing so tags and cookies only fire under the correct consent state.
6. Retest CWV, TBT, Best Practices, cookie behavior, and console errors after each cleanup.
7. Measurement focus: improvement should be visible through lower script weight, reduced TBT, cleaner cookie footprint, fewer console errors, better Best Practices scores, and clearer consent-based tag behavior.
8. Business value connection: connect script governance to faster product journeys, stronger privacy confidence, cleaner attribution, lower reliability risk, and more dependable retailer-handoff behavior.
9. Additional data needed: tag owner map, GTM/container export or access, consent dependency mapping, vendor-purpose inventory, cookie classification, and request-level script impact from Lighthouse/WebPageTest.</t>
  </si>
  <si>
    <t>PageSpeed Insights image diagnostics + Lighthouse audits</t>
  </si>
  <si>
    <t>WebPageTest/Catchpoint waterfall, assets, and filmstrip reports</t>
  </si>
  <si>
    <t>Image and media delivery is a major pressure point across the sampled homepage, PDP, and PLP pages. Product and listing imagery are essential for helping shoppers understand formats, packaging, and claims, but heavy or unstable media can slow rendering, increase layout movement, and make browsing feel less reliable. This matters because visual confidence is central to product consideration, while slow or shifting media can weaken discovery, comparison, and retailer-handoff journeys.</t>
  </si>
  <si>
    <t>1. Image and media delivery is a major contributor to LCP, CLS, page-weight, and sustainability gaps.
2. The homepage has severe mobile lab LCP at 14.7s and mobile CLS failure at 0.206; Contentstack hero/banner imagery is called out as a major payload and LCP candidate.
3. The Lysol Laundry Sanitizer Crisp Linen 41 oz PDP has severe mobile lab LCP at 17.6s and severe mobile CLS at 0.443, with PDP media and image payload listed as contributors.
4. The Lysol Toilet Bowl Lime &amp; Rust Remover 24oz PDP has mobile lab LCP at 15.1s and mobile CLS at 0.228, with PDP media still contributing to load.
5. The Lysol Disinfectant Spray PLP has severe mobile lab LCP at 18.0s, desktop lab LCP at 5.1s, and mobile CLS at 0.194; product grid/listing imagery needs responsive sizing, modern formats, reserved dimensions, and lazy loading.
6. Sustainability checks reinforce the same issue: homepage page weight is 3.98MB, PDP page weight is 4.01MB, and media plus scripts are named as key remediation areas.
7. The business impact is strongest where image weight or layout movement slows product understanding, product comparison, visual trust, PDP browsing, PLP browsing, or retailer handoff.</t>
  </si>
  <si>
    <t>1. Optimize homepage hero/banner images, PDP product media, PDP gallery assets, and PLP product-card/listing images first.
2. Serve correctly sized responsive images for mobile and desktop viewports.
3. Use modern formats and stronger compression where visual quality allows.
4. Preload only the true LCP image on each template and lazy-load non-critical media below the initial viewport.
5. Reserve width, height, or aspect-ratio for hero, product, gallery, and listing images to reduce mobile CLS.
6. Re-run Lighthouse, PSI, WebPageTest, and Ecograder after image changes to confirm LCP, CLS, page weight, and sustainability improvement.
7. Measurement focus: improvement should be visible through lower LCP, lower CLS, reduced image payload, lower page weight, better responsive-image coverage, and cleaner sustainability diagnostics.
8. Business value connection: connect media optimization to faster product understanding, stronger visual confidence, smoother product comparison, better mobile browsing, and more reliable retailer-handoff paths.
9. Additional data needed: image inventory by template, LCP element confirmation, responsive image rules, format/compression audit, CMS media ownership, and before/after Lighthouse or WebPageTest image diagnostics.</t>
  </si>
  <si>
    <t>PageSpeed Insights + Lighthouse diagnostics</t>
  </si>
  <si>
    <t>Chrome DevTools Coverage and WebPageTest/Catchpoint JavaScript reports</t>
  </si>
  <si>
    <t>JavaScript and CSS weight is a major performance constraint across the sampled homepage, PDP, and PLP pages. Heavy bundles, render-blocking resources, third-party scripts, and console issues can delay first render and make browsing feel slower, especially on product and listing journeys. This matters because front-end execution quality directly affects discovery speed, product comparison, interaction confidence, and the path toward retailer handoff.</t>
  </si>
  <si>
    <t>1. JavaScript and CSS optimization is a major performance gap across homepage, PDP, and PLP templates.
2. Homepage TBT is high at 1,120ms mobile and 870ms desktop, with render-blocking font/CSS and critical-path requests delaying first render.
3. The Lysol Laundry Sanitizer Crisp Linen 41 oz PDP has high TBT at 1,000ms mobile and 660ms desktop, with font/CSS critical path, OneTrust bootstrap, vendor/app bundle execution, and Bazaarvoice initialization contributing to load.
4. The Lysol Toilet Bowl Lime &amp; Rust Remover 24oz PDP has high TBT at 1,230ms mobile and 630ms desktop, with render-blocking savings estimated at 2,870ms on mobile.
5. The Lysol Disinfectant Spray PLP has severe desktop TBT at 3,540ms and mobile TBT at 870ms, making listing-page JavaScript a priority backlog.
6. Best Practices checks also show recurring deprecated API usage, browser console errors, failed requests, and third-party resource governance issues on PDP and PLP.
7. The business impact is strongest where heavy JavaScript or CSS slows page rendering, product interaction, listing browsing, consent behavior, review/commerce widgets, or retailer handoff.</t>
  </si>
  <si>
    <t>1. Reduce unused JavaScript and CSS across shared Gatsby/Contentstack homepage, PDP, and PLP templates.
2. Split app/framework bundles so only page-needed code loads on each template.
3. Defer non-critical tags, analytics, consent-adjacent scripts, review widgets, commerce scripts, and listing interactions until after core content renders.
4. Optimize font loading by reducing blocking CSS requests, limiting font variants, and preloading only critical fonts.
5. Fix deprecated API usage, browser console errors, and failed requests as part of script cleanup.
6. Add TBT, render-blocking savings, unused JS/CSS, and console-error checks to release QA.
7. Retest homepage, Lysol Toilet Bowl Lime &amp; Rust Remover 24oz PDP, and Lysol Disinfectant Spray PLP after each optimization pass.
8. Measurement focus: improvement should be visible through lower TBT, fewer long tasks, reduced unused JS/CSS, lower render-blocking savings, fewer console errors, and improved Lighthouse/WebPageTest diagnostics.
9. Business value connection: connect JS/CSS optimization to faster discovery, smoother PDP/PLP browsing, better interaction confidence, lower abandonment risk, and more reliable retailer-handoff journeys.
10. Additional data needed: bundle analysis, Chrome Coverage output, long-task trace, critical CSS/font audit, script owner map, and before/after Lighthouse/WebPageTest diagnostics.</t>
  </si>
  <si>
    <t>WebPageTest/Catchpoint cache and waterfall reports</t>
  </si>
  <si>
    <t>Chrome DevTools Network review and CDN/header inspection</t>
  </si>
  <si>
    <t>CDN and caching behavior is only partially visible across the sampled homepage, PDP, and PLP pages. Availability and DNS look stable, but route-level cache, compression, request, media, and service-worker behavior still need validation. This matters because caching should make repeat visits and product browsing faster without serving stale product details, listing content, consent state, pricing, or availability signals that could weaken retailer-handoff confidence.</t>
  </si>
  <si>
    <t>1. Domain-level availability and DNS look stable, but CDN and caching behavior is not fully proven across page types.
2. Homepage checks show 100% availability in the captured monitor views and stable DNS propagation.
3. Homepage Pingdom still shows delivery hygiene gaps: C 79 grade, 2.45s load time, 1.4MB page size, and 31 requests.
4. PDP and PLP cache headers, compression, request count, and CDN behavior still need complete page-level validation.
5. Business value gap: better caching and delivery hygiene can improve product browsing speed and campaign landing efficiency.</t>
  </si>
  <si>
    <t>1. Add CDN/cache validation for the homepage, Lysol Toilet Bowl Lime &amp; Rust Remover 24oz PDP, and Lysol Disinfectant Spray PLP.
2. Check cache-control, expires, ETag, compression, CDN hit/miss, image/media caching, font caching, and third-party request behavior.
3. Add dedicated Pingdom or WebPageTest captures for the PDP and PLP to measure load time, page weight, request count, and cache effectiveness.
4. Validate service worker and PWA cache rules so product details, listings, filters, pricing, availability, consent state, and user-specific data are not served stale.
5. Fix homepage delivery hygiene first: cache headers, compression, request reduction, CDN behavior, third-party domain review, and asset delivery.
6. Re-run Infrastructure, CWV, and WebPageTest after CDN/cache changes to confirm improvement without stale product or listing behavior.
7. Measurement focus: improvement should be visible through stronger cache/header coverage, better compression, lower page weight, lower request count, faster repeat-visit performance, and validated cache freshness.
8. Business value connection: connect CDN/cache quality to faster repeat browsing, reliable product/listing freshness, campaign landing-page efficiency, lower delivery risk, and stronger retailer-handoff confidence.
9. Additional data needed: route-level Pingdom/WebPageTest results, response headers, CDN/cache headers, compression proof, service-worker/cache-storage review, CDN/cache ownership details, and cache invalidation rules.</t>
  </si>
  <si>
    <t>Ecograder report</t>
  </si>
  <si>
    <t>Website Carbon/Beacon-style sustainability checks as supporting benchmarks</t>
  </si>
  <si>
    <t>Digital sustainability is a meaningful backlog across the sampled homepage, PDP, and PLP pages. The issue is driven less by a separate sustainability layer and more by the same heavy media, scripts, page weight, and hosting-proof gaps that also affect speed and delivery efficiency. For the business, this connects brand responsibility with practical benefits: leaner pages can improve customer experience, reduce delivery waste, and support more disciplined digital operations.</t>
  </si>
  <si>
    <t>1. Digital sustainability is a real backlog across the sampled pages, mainly driven by page weight, media, scripts, and hosting evidence gaps.
2. The homepage Ecograder score is 36/100, with 1.55g CO2 per page load, 3.98MB page weight, and Green Hosting scored at 0/100.
3. The Lysol Toilet Bowl Lime &amp; Rust Remover 24oz PDP also scores 36/100, with 1.56g CO2 per page load, 4.01MB page weight, and Green Hosting scored at 0/100.
4. The Lysol Disinfectant Spray PLP performs slightly better at 40/100, with 1.30g CO2 per page load and 3.33MB page weight, but it still receives an E digital carbon rating.
5. The same remediation themes appear across CWV and Sustainability: optimize hero/media assets, PDP product media, PLP listing media, unused scripts, and third-party payload.
6. The business impact is strongest where heavy pages affect speed, delivery cost, sustainability posture, brand responsibility, and repeat browsing efficiency.</t>
  </si>
  <si>
    <t>1. Treat sustainability as a shared performance backlog for homepage, Lysol Toilet Bowl Lime &amp; Rust Remover 24oz PDP, and Lysol Disinfectant Spray PLP.
2. Prioritize homepage and PDP first because they have the highest emissions and page weight in the sampled set.
3. Reduce page weight through image compression, responsive media, modern formats, unused script cleanup, and third-party tag reduction.
4. Optimize PLP listing media and product-card assets so category pages do not grow heavier as listings change.
5. Confirm whether hosting/CDN renewable-energy evidence exists and document it for future Ecograder-style validation.
6. Track page weight, CO2/page load, Ecograder score, and Green Hosting status alongside CWV and Infrastructure remediation.
7. Measurement focus: improvement should be visible through lower page weight, lower CO2/page load, better Ecograder scores, cleaner asset mix, reduced script/media payload, and clearer hosting/CDN sustainability proof.
8. Business value connection: connect sustainability improvement to faster customer journeys, lower delivery waste, brand responsibility, operating discipline, and stronger alignment between performance and sustainability goals.
9. Additional data needed: renewable hosting/CDN proof if available, page-weight breakdown by asset type, script/media ownership, delivery-volume assumptions, and before/after Ecograder or carbon validation.</t>
  </si>
  <si>
    <t>Lighthouse PWA signals + Wappalyzer PWA signal + manifest checks</t>
  </si>
  <si>
    <t>Chrome DevTools Application panel for service worker/offline validation</t>
  </si>
  <si>
    <t>PWA and manifest signals are visible across the sampled homepage, PDP, and PLP pages, suggesting a foundation for faster repeat visits and app-like engagement. The maturity gap is whether service worker behavior, cache rules, offline fallback, installability, and update handling are actually controlled. This matters because PWA features can improve repeat engagement, but stale product, listing, consent, pricing, or availability information could quickly damage trust and retailer-handoff confidence.</t>
  </si>
  <si>
    <t>1. PWA and manifest signals are visible, but full service worker and offline behavior are not validated.
2. The homepage, PDP, and PLP show PWA/manifest signals through the shared Gatsby/Contentstack stack.
3. The baseline does not confirm service worker registration, cache scope, update lifecycle, offline fallback, or stale-content handling.
4. Product, listing, consent, and retailer-handoff pages need extra care before any offline/cache maturity claim.
5. Business value gap: PWA maturity could improve repeat access and resilience, but current proof is closer to manifest readiness than offline readiness.</t>
  </si>
  <si>
    <t>1. Validate manifest completeness for homepage, Lysol Toilet Bowl Lime &amp; Rust Remover 24oz PDP, and Lysol Disinfectant Spray PLP.
2. Confirm service worker registration, scope, lifecycle, update behavior, and rollback behavior in browser testing.
3. Test offline and fallback behavior so users do not see stale or misleading product, listing, pricing, availability, claims, consent, or tracking states.
4. Define cache invalidation rules for Gatsby/Contentstack releases, product data, listing pages, consent-dependent scripts, and third-party tags.
5. Keep consent, personalization, and user-specific commerce states outside unsafe cache paths.
6. Add manifest, service worker, cache-storage, offline fallback, and stale-content checks to release QA.
7. Measurement focus: improvement should be visible through validated manifest completeness, service worker registration, controlled cache storage, safe offline fallback, installability status, and reliable cache invalidation.
8. Business value connection: connect PWA maturity to faster repeat visits, stronger mobile engagement, lower friction without app-store dependency, product freshness, and retailer-handoff confidence.
9. Additional data needed: Chrome Application panel validation for manifest, service worker, cache storage, offline fallback, installability, update lifecycle, cache invalidation rules, and product/listing freshness test cases.</t>
  </si>
  <si>
    <t>Manual journey walkthrough from homepage, PDP, and PLP</t>
  </si>
  <si>
    <t>Baseline page checks for product discovery, education, sign-up, and retailer handoff</t>
  </si>
  <si>
    <t>The public journey gives users several paths from cleaning need to product discovery, education, sign-up, and retailer handoff. Homepage, PDP, and PLP journeys are visible, but the current baseline does not yet show how many users complete those paths or where they drop off. This matters because the business value of the experience depends on whether visitors can move from awareness and product learning into confident product selection and buying intent.</t>
  </si>
  <si>
    <t>1. Public journeys are visible for product discovery, education, sign-up, newsletter, and retailer handoff.
2. The homepage gives users multiple paths into product categories, Healthy Schools, Cold &amp; Flu content, and promotional/sign-up areas.
3. The Lysol Toilet Bowl Lime &amp; Rust Remover 24oz PDP supports product evaluation and Where-to-Buy handoff, but ratings/reviews were not visible on the sampled page.
4. The Lysol Disinfectant Spray PLP supports category browsing, product discovery, educational content, and retailer handoff.
5. Hotjar, dataLayer, and view_item_list signals show measurement capability, but actual drop-off, completion, repeat visits, and retailer-click outcomes require internal analytics.
6. The business impact is strongest where journey friction affects product discovery, product comparison, education-to-product movement, sign-up intent, or retailer handoff.</t>
  </si>
  <si>
    <t>1. Map homepage, Lysol Toilet Bowl Lime &amp; Rust Remover 24oz PDP, and Lysol Disinfectant Spray PLP journeys from entry to retailer handoff.
2. Validate product-card clicks, product-detail abandonment, Where-to-Buy clicks, newsletter actions, and education-to-product movement with analytics/session data.
3. Add clearer proof and decision-support modules where users need help choosing between products.
4. Use the PLP as a priority journey sample because it carries strong organic demand.
5. Keep public journey checks in release QA, and use internal analytics to confirm real customer behavior.
6. Measurement focus: improvement should be visible through clearer journey paths, stronger product-card engagement, lower PDP/PLP drop-off, more Where-to-Buy clicks, and better education-to-product movement.
7. Business value connection: connect journey quality to product consideration, customer confidence, lead/sign-up value, retailer-handoff readiness, and conversion intent.
8. Additional data needed: GA4 journey paths, product-card clicks, PDP/PLP exits, Where-to-Buy or retailer-click events, newsletter/sign-up events, session recordings or heatmaps, and repeat-visit behavior.</t>
  </si>
  <si>
    <t>Manual conversion walkthrough from homepage, PDP, and PLP</t>
  </si>
  <si>
    <t>PriceSpider / Where-to-Buy evidence from technology and engagement reports</t>
  </si>
  <si>
    <t>Conversion readiness is centered on product consideration and retailer handoff rather than owned checkout. The sampled homepage, PDP, and PLP pages support discovery and Where-to-Buy movement, but the quality of product-clicks, retailer-clicks, ratings/reviews, and handoff completion still needs stronger validation. This matters because the business value is created when interested shoppers can move clearly from product evaluation to a trusted buying path.</t>
  </si>
  <si>
    <t>1. Conversion is built around retailer handoff rather than direct checkout or owned payment.
2. PriceSpider is visible as the likely Where-to-Buy and retailer-handoff technology.
3. No direct cart, checkout, or payment flow was found on the sampled homepage, PDP, or PLP.
4. Bazaarvoice and product-decision tools are present in the technology stack, but the sampled PDP had a configuration warning and ratings/reviews were not visible.
5. Retailer-click quality, product-click detail, filter usage, and conversion-intent events need stronger validation.
6. The business impact is strongest where unclear handoff, missing proof, weak product-card behavior, or incomplete tracking affects product consideration and purchase intent.</t>
  </si>
  <si>
    <t>1. Treat conversion as product consideration plus retailer handoff, not direct payment.
2. Validate Where-to-Buy visibility, retailer modal behavior, product-card clicks, and retailer-click tracking across homepage, PDP, and PLP.
3. Resolve Bazaarvoice configuration issues and confirm ratings/reviews render where expected.
4. Strengthen product-card CTAs and PDP handoff clarity so users understand the next action.
5. Align retailer-handoff events with GA4/GTM reporting requirements.
6. Measurement focus: improvement should be visible through clearer Where-to-Buy behavior, stronger product-card clicks, validated retailer-click events, visible ratings/reviews, and cleaner conversion-intent tracking.
7. Business value connection: connect retailer-handoff quality to product consideration, purchase intent, campaign value, shopper confidence, and downstream conversion proxy movement.
8. Additional data needed: PriceSpider configuration/reporting, retailer-click events, product-card click events, PDP engagement, PLP filter/listing usage, ratings/reviews status, and GA4/GTM conversion-event definitions.</t>
  </si>
  <si>
    <t>Frictionless conversion maturity supports product consideration, retailer handoff, purchase intent, and downstream conversion proxy movement.</t>
  </si>
  <si>
    <t>Manual feature review from homepage, PDP, and PLP</t>
  </si>
  <si>
    <t>BuiltWith/Wappalyzer personalization, analytics, and engagement signals</t>
  </si>
  <si>
    <t>Digital engagement features are present, but the experience is closer to basic browsing and retailer handoff than deeper assisted decisioning. Users can reach product, education, sign-up, social, promotion, and Where-to-Buy paths, but stronger proof, comparison, ratings/reviews, and guided selection signals are limited in the sampled pages. This matters because engagement features help shoppers move from general interest to product confidence and repeat brand interaction.</t>
  </si>
  <si>
    <t>1. Basic-to-moderate digital engagement features are visible across the public pages.
2. Product browsing, education content, sign-up access, newsletter sections, social links, promotions, Browse More Products, and Where-to-Buy are visible.
3. The Lysol Disinfectant Spray PLP supports browsing and Learn More paths, but behaves more like a browse-and-handoff page than a deeper engagement hub.
4. Advanced features such as guided product finder, active comparison, loyalty/rewards, live chat, sample program, and community engagement were not visible in the sampled pages.
5. Ratings/reviews were not visible on the sampled PDP or PLP.
6. The business impact is strongest where limited decision support affects product confidence, education depth, repeat engagement, sign-up value, or movement toward retailer handoff.</t>
  </si>
  <si>
    <t>1. Strengthen product decision support on PDP and PLP pages with clearer proof, comparison, and product-selection help.
2. Confirm where ratings/reviews should appear and fix display or configuration issues if they are expected.
3. Consider lightweight guided selection for cleaning need, surface, product format, and use case.
4. Connect newsletter and promotional sign-up paths to clearer lifecycle value.
5. Track engagement features through dataLayer events so feature usage can be measured after launch.
6. Measurement focus: improvement should be visible through stronger feature visibility, product-comparison engagement, ratings/reviews availability, guided-selection usage, sign-up engagement, and deeper product journey behavior.
7. Business value connection: connect engagement maturity to product confidence, education value, repeat interaction, first-party relationship growth, and retailer-handoff readiness.
8. Additional data needed: feature usage events, ratings/reviews configuration status, PDP/PLP engagement depth, newsletter/sign-up attribution, guided-selection requirements, and repeat-visit or lifecycle engagement data.</t>
  </si>
  <si>
    <t>Not scored - account access not in public scope</t>
  </si>
  <si>
    <t>Client access to account, loyalty, CRM, preference center, or gated user flows</t>
  </si>
  <si>
    <t>Account feature maturity is not publicly scoreable from the sampled pages. The visible experience is oriented around public content, product discovery, newsletter capture, and retailer handoff rather than an account-led owned commerce or loyalty model. This matters because any business value tied to repeat engagement, preferences, CRM, or lifecycle journeys cannot be confirmed without access to internal account, campaign, or customer-data flows.</t>
  </si>
  <si>
    <t>1. Account feature maturity is not publicly scoreable from the supplied outside-in review.
2. No owned account, loyalty profile, self-service portal, saved product, reorder, preference-center, or authenticated experience was confirmed on the sampled pages.
3. The public experience appears focused on content, newsletter capture, and retailer handoff rather than an account-led owned commerce model.
4. Any account, CRM, loyalty, or preference capability would require internal access to confirm.
5. The business impact becomes relevant where first-party relationships, repeat engagement, preferences, CRM triggers, loyalty participation, or lifecycle marketing are part of the brand strategy.</t>
  </si>
  <si>
    <t>1. Keep this metric out of external scoring unless account, loyalty, CRM, or preference-center access is added to scope.
2. If account features exist behind campaigns or CRM flows, review registration, preferences, saved interests, consent state, and lifecycle triggers.
3. If no account model is intended, document the reliance on public content, email capture, and retailer handoff for retention.
4. Measurement focus: account maturity should be measured through registration paths, preference capture, saved-interest behavior, loyalty participation, lifecycle triggers, and repeat-engagement signals when those capabilities are in scope.
5. Business value connection: connect account or CRM maturity to first-party relationship growth, retention, repeat product engagement, personalization readiness, and lifecycle marketing value.
6. Additional data needed: CRM/account access, preference-center flow, email lifecycle journeys, loyalty or campaign registration paths, first-party audience definitions, and consent/identity data model.</t>
  </si>
  <si>
    <t>Lighthouse SEO + public search/indexing checks</t>
  </si>
  <si>
    <t>Semrush Site Audit and fresh crawl validation for deeper index coverage</t>
  </si>
  <si>
    <t>Search and indexing maturity has a workable foundation across the sampled pages, with key technical SEO checks generally passing. The remaining issues are mostly template and content-structure gaps, such as thin crawlable copy, generic links, anchor text, and image-alt coverage. This matters because clean indexing helps search engines and AI systems understand the right pages, which supports better product discovery, higher-quality organic traffic, and more useful entry points into PDP and PLP journeys.</t>
  </si>
  <si>
    <t>1. A working search and indexing foundation is visible across sampled pages.
2. Homepage and PLP Lighthouse SEO scores are 85, while the legacy PDP sample scores 92.
3. Robots, canonical, language-tag, title, and description checks generally pass in Lighthouse.
4. SEMrush crawl coverage includes 100 pages and shows controlled issue volume, but recurring template issues remain.
5. Main gaps are low text-to-markup pages, generic or missing anchor text, image-alt gaps, and missing llms.txt for future AI/search governance.
6. The business impact is strongest where indexing and crawl clarity affect organic discovery, AI-search understanding, product-page entry quality, and category/product journey starts.</t>
  </si>
  <si>
    <t>1. Fix low text-to-markup pages by adding useful crawlable copy where appropriate.
2. Clean up generic link text, missing anchor text, and image-alt gaps across shared templates.
3. Validate title, meta, H1, canonical, schema, and indexability for the Lysol Toilet Bowl Lime &amp; Rust Remover 24oz PDP and Lysol Disinfectant Spray PLP.
4. Add llms.txt or equivalent AI crawler governance when the content strategy is ready.
5. Keep crawl and indexing checks in SEO QA before page/template releases.
6. Measurement focus: improvement should be visible through stronger crawl/index coverage, fewer template SEO issues, cleaner anchor text, better image-alt coverage, validated PDP/PLP indexability, and clearer AI crawler governance.
7. Business value connection: connect search and indexing maturity to stronger organic discovery, better AI/search understanding, higher-quality acquisition, and more reliable entry paths into product and category journeys.
8. Additional data needed: fresh crawl export, Search Console indexing/coverage data, priority keyword/page map, organic landing-page performance, PDP/PLP metadata review, and AI crawler governance requirements.</t>
  </si>
  <si>
    <t>Semrush + Lighthouse SEO reports</t>
  </si>
  <si>
    <t>Google Search Console and fresh crawl data for deeper validation</t>
  </si>
  <si>
    <t>SEO performance shows meaningful organic demand, especially on high-value product and listing journeys. The opportunity is to protect pages that already attract search interest while cleaning up template, metadata, content, image-alt, and structured-data issues that can limit discoverability. This matters because stronger SEO health can improve organic acquisition quality, reduce dependence on paid traffic, and bring more shoppers into product consideration paths.</t>
  </si>
  <si>
    <t>1. SEO strength is meaningful, but practical SEO health is held back by template and content issues.
2. Homepage Lighthouse SEO is 85, and the legacy PDP sample is stronger at 92.
3. The Lysol Toilet Bowl Lime &amp; Rust Remover 24oz PDP has a 3.5K organic traffic signal, and the Lysol Disinfectant Spray PLP has a 15.5K organic traffic signal.
4. The PLP is the strongest sampled organic page and should be protected during remediation.
5. Main gaps are generic links, image-alt issues, low text-to-HTML, title/H1/anchor cleanup, metadata/canonical validation, and structured-data validation.
6. The business impact is strongest where SEO issues affect high-intent organic entry points, product discovery, category visibility, and lower-cost acquisition.</t>
  </si>
  <si>
    <t>1. Prioritize SEO QA for the high-value Lysol Disinfectant Spray PLP and Lysol Toilet Bowl Lime &amp; Rust Remover 24oz PDP.
2. Validate metadata, canonical, headings, image alt, links, and schema on priority PDP/PLP templates.
3. Improve crawlable category and product content where pages carry organic demand.
4. Fix generic links and anchor-text issues through shared templates.
5. Track organic traffic protection as fixes are deployed.
6. Measurement focus: improvement should be visible through stronger SEO scores, cleaner metadata/canonical coverage, better image-alt and anchor quality, improved crawl health, and stable or improved organic landing-page traffic.
7. Business value connection: connect SEO performance to organic demand capture, lower paid-media reliance, better product discovery, higher-quality acquisition, and stronger PDP/PLP consideration paths.
8. Additional data needed: Search Console query/page data, organic landing-page performance, priority keyword map, crawl export, metadata/canonical review, and before/after organic traffic monitoring.</t>
  </si>
  <si>
    <t>Manual AI prompt/citation validation for cited pages and buying-intent queries</t>
  </si>
  <si>
    <t>AI-search visibility is strong in the U.S. but materially weaker worldwide. The brand is visible for relevant cleaning, disinfecting, mold and mildew cleaning, toilet-bowl, laundry, and cleaning-use topics, with AI Overview carrying the largest captured visibility share. The business value depends on whether high-intent AI answers cite the right product and category pages and move users toward product consideration, retailer handoff, or buying intent.</t>
  </si>
  <si>
    <t>1. AI-search visibility is solid in the U.S. but weaker worldwide.
2. Semrush AI Visibility shows 76/100 in the U.S. and 42/100 worldwide.
3. AI Overview is the largest visibility channel in the captured LLM distribution.
4. Relevant topics include cleaning, disinfecting, mold and mildew cleaning, toilet-bowl, laundry, and cleaning-use queries.
5. PDP and PLP GEO status is supported by domain/topic signals, but page-level cited-page validation is still needed.
6. The business impact is strongest where AI answers influence brand consideration, product discovery, comparison, high-intent queries, and movement toward retailer handoff.</t>
  </si>
  <si>
    <t>1. Expand answer-ready content for cleaning use cases, safety, comparisons, product formats, and product-specific guidance.
2. Add the Lysol Toilet Bowl Lime &amp; Rust Remover 24oz PDP and Lysol Disinfectant Spray PLP to cited-page and topic validation.
3. Track whether priority PDP/PLP URLs appear in AI citations and answer sources.
4. Align product schema, FAQ-style content, and category content with AI answer reuse.
5. Protect strong U.S. visibility while improving worldwide cited-source coverage.
6. Measurement focus: improvement should be visible through higher AI Visibility, stronger cited-page presence, broader topic coverage, more priority PDP/PLP citations, and better worldwide coverage.
7. Business value connection: connect GEO movement to AI-led discovery, qualified product consideration, high-intent traffic, retailer-handoff readiness, and downstream conversion proxy movement.
8. Additional data needed: priority AI prompt set by intent, cited-page tracking across AI answer engines, GA4 AI/referral landing-page behavior, PDP/PLP engagement, retailer-click events, Search Console query data, and competitor citation comparison.</t>
  </si>
  <si>
    <t>Semrush On Page SEO Checker + Site Audit content findings</t>
  </si>
  <si>
    <t>Manual content review of homepage, PDP, PLP, and category/product pages</t>
  </si>
  <si>
    <t>Content coverage is uneven across homepage, product, and category journeys. The brand has visible education and product-discovery content, but keyword alignment, crawlable copy, category guidance, readability, and answer-ready depth are not consistent across sampled pages. This matters because stronger content coverage helps search engines, AI answer systems, and shoppers connect cleaning needs to the right products with more confidence.</t>
  </si>
  <si>
    <t>1. Content coverage is uneven across homepage, product, and category pages.
2. Homepage target keyword alignment is weak, with body, H1, and title gaps for assigned keyword intent.
3. Semrush flags content depth, readability, low text-to-HTML, and structured-content opportunities.
4. Product content coverage is not yet fully validated for the Lysol Toilet Bowl Lime &amp; Rust Remover 24oz PDP and Lysol Disinfectant Spray PLP.
5. The Lysol Disinfectant Spray PLP has strong organic demand and needs richer crawlable category guidance, not only product-grid content.
6. The business impact is strongest where limited content depth affects organic discovery, AI answer reuse, product education, comparison, and product-selection confidence.</t>
  </si>
  <si>
    <t>1. Add the Lysol Toilet Bowl Lime &amp; Rust Remover 24oz PDP and Lysol Disinfectant Spray PLP to the next content/on-page report run.
2. Build richer answer-ready product and category copy around use cases, safety, comparisons, surfaces, and product formats.
3. Improve homepage keyword alignment, readability, and useful crawlable content.
4. Add FAQ, internal-link, and schema-ready content patterns where supported by visible content.
5. Address low text-to-HTML pages through shared template and content governance.
6. Measurement focus: improvement should be visible through stronger keyword alignment, richer crawlable copy, better readability, improved text-to-HTML balance, stronger FAQ/schema-ready coverage, and better PDP/PLP content depth.
7. Business value connection: connect content coverage to organic discovery, AI-search visibility, product education, comparison confidence, category engagement, and higher-quality product consideration.
8. Additional data needed: priority keyword map, content/on-page reports for PDP and PLP, Search Console query/page data, content inventory by template, FAQ/schema requirements, and organic landing-page engagement data.</t>
  </si>
  <si>
    <t>Semrush keyword/topic gap + manual E-E-A-T review</t>
  </si>
  <si>
    <t>Ahrefs/backlink/content-quality review as optional supporting evidence</t>
  </si>
  <si>
    <t>Brand authority is strong, but page-level content authority is not yet deep enough across priority discovery and product journeys. The sampled pages need richer topical depth, clearer usage guidance, stronger internal linking, and more authoritative support around cleaning needs, safety, product formats, and comparison moments. This matters because authority helps users, search engines, and AI answer systems trust the content enough to support product consideration and cited-source visibility.</t>
  </si>
  <si>
    <t>1. Brand authority is strong, but page-level content authority is not deep enough across priority pages.
2. Homepage content is lighter than stronger competitor examples and does not fully support assigned keyword intent.
3. Low text-to-HTML volume and thin crawlable content reduce semantic depth.
4. Current PDP and PLP pages have organic value, but direct content-depth and authority proof are limited.
5. Authority can improve through richer product guidance, better category content, internal linking, structured content, and cited-source alignment.
6. The business impact is strongest where limited authority affects customer trust, search visibility, AI answer reuse, product confidence, and movement from education to product consideration.</t>
  </si>
  <si>
    <t>1. Strengthen topical depth around disinfecting, toilet-bowl lime/rust removal, surface safety, product formats, and usage guidance.
2. Build internal links between education content, category pages, PDPs, and high-value use cases.
3. Add expert-reviewed or brand-authoritative guidance where claims, safety, or product usage need trust.
4. Improve content readability and scannability so search engines and AI systems can reuse the content.
5. Use backlink/source ideas and partner sources to improve authority around priority topics.
6. Measurement focus: improvement should be visible through richer topical coverage, stronger internal links, better cited-source readiness, improved organic engagement, stronger backlink/source quality, and clearer expert or brand-authoritative signals.
7. Business value connection: connect content authority to trust, product confidence, AI/search citation potential, organic acquisition quality, and stronger education-to-product movement.
8. Additional data needed: priority topic map, internal-link map, backlink/source profile, Search Console query/page data, content engagement data, expert-review ownership, and competitor authority comparison.</t>
  </si>
  <si>
    <t>Manual brand review from public pages and baseline evidence</t>
  </si>
  <si>
    <t>Official brand book, voice guide, and design rules if available</t>
  </si>
  <si>
    <t>Brand presentation is generally consistent across the sampled homepage, PDP, and PLP pages, with clear naming and cleaning/disinfecting context. The remaining quality gaps are at the page and component level, including image-alt coverage, accessibility, generic links, content depth, and formal guideline proof. This matters because brand consistency helps users recognize the experience, trust product information, and move through discovery and retailer-handoff journeys with more confidence.</t>
  </si>
  <si>
    <t>1. Brand naming and core page previews are generally clear across sampled pages.
2. The homepage, Lysol Toilet Bowl Lime &amp; Rust Remover 24oz PDP, and Lysol Disinfectant Spray PLP show consistent cleaning and disinfecting language.
3. Product and category naming are clear, but official guideline proof is not available.
4. Brand polish is held back by image-alt gaps, accessibility issues, content depth, generic links, and proof-module gaps.
5. Business value gap: stronger template hygiene helps the brand feel more reliable across discovery, product comparison, and retailer-handoff journeys.</t>
  </si>
  <si>
    <t>1. Add official brand, tone, logo, color, image, component, and CMS publishing rules to the assessment evidence when available.
2. Treat title, H1, meta, social preview, image alt, contrast, link copy, and accessibility as brand-quality checks.
3. Apply stronger image-alt and component rules across PDP and PLP templates.
4. Protect the Lysol Disinfectant Spray PLP as a brand and organic asset during content/template changes.
5. Add brand QA to shared Gatsby/Contentstack release checks.
6. Measurement focus: improvement should be visible through stronger brand QA coverage, cleaner page metadata, better image-alt quality, improved accessibility checks, clearer link copy, and more consistent component usage.
7. Business value connection: connect brand adherence to recognition, trust, product confidence, content credibility, organic asset protection, and smoother retailer-handoff journeys.
8. Additional data needed: official brand guidelines, tone and claims rules, design/component standards, CMS publishing rules, social preview requirements, accessibility standards, and brand QA ownership.</t>
  </si>
  <si>
    <t>Semrush Keyword Gap + competitor content baseline</t>
  </si>
  <si>
    <t>Ahrefs or competitor content inventory as supporting follow-up</t>
  </si>
  <si>
    <t>Competitor content analysis shows room to strengthen topic depth, readability, and product/category ownership. The sampled pages have brand strength and organic value, but lighter homepage copy and limited dedicated PDP/PLP content validation make it harder to show where the brand is clearly winning against competitor content. This matters because stronger competitor content can capture search demand, answer high-intent questions, and influence product consideration before users reach the brand experience.</t>
  </si>
  <si>
    <t>1. A material competitor content gap remains, especially on depth, readability, and topic ownership.
2. Homepage copy is lighter than stronger competitor examples and does not cleanly support assigned keyword intent.
3. The Lysol Toilet Bowl Lime &amp; Rust Remover 24oz PDP and Lysol Disinfectant Spray PLP lack dedicated content reports, even though both have organic value.
4. The Lysol Disinfectant Spray PLP has a 15.5K traffic signal and needs richer category guidance to protect and expand demand.
5. Main gaps are useful body copy, internal links, FAQs, schema-supported content, and clear product/category topic ownership.
6. The business impact is strongest where competitor content captures high-intent search demand, category education, comparison queries, AI answer visibility, or product consideration earlier in the journey.</t>
  </si>
  <si>
    <t>1. Run current PDP and PLP content reports against the same competitor frame.
2. Improve homepage depth and readability where competitor examples are stronger.
3. Build answer-ready content for Lysol Toilet Bowl Lime &amp; Rust Remover 24oz and Lysol Disinfectant Spray use cases.
4. Clarify product versus category keyword ownership to reduce cannibalization.
5. Use competitor gaps to prioritize FAQs, internal links, category copy, and structured content.
6. Measurement focus: improvement should be visible through stronger content depth, better readability, clearer topic ownership, improved priority keyword coverage, stronger internal linking, and better competitor gap closure.
7. Business value connection: connect competitor content improvements to organic demand capture, AI-search visibility, product education, category authority, and stronger product consideration against competitor alternatives.
8. Additional data needed: competitor content reports for priority PDP/PLP pages, keyword gap analysis, SERP/AI citation comparison, content engagement by page, internal-link map, and category/product topic ownership map.</t>
  </si>
  <si>
    <t>Competitor content and marketing gap analysis shows where the brand can win demand, topics, and positioning.</t>
  </si>
  <si>
    <t>Live JSON-LD extraction + rich-result readiness baseline checks</t>
  </si>
  <si>
    <t>Rich-result readiness is partial across the sampled homepage, PDP, and PLP pages. Structured data is present and the PDP has a Product schema starting point, but eligibility proof and product/listing property depth still need validation. This matters because richer search and AI presentation can make product pages more understandable, more prominent, and more useful when shoppers are comparing options or looking for a buying path.</t>
  </si>
  <si>
    <t>1. Rich-result readiness is partial, not absent.
2. Structured data exists on homepage, PDP, and PLP, including Product schema on the sampled PDP.
3. Rich-result confidence is limited because PDP product fields such as offer, image, availability, review/rating proof, identifiers, and brand need field-level review.
4. PLP list/product depth and validator outputs are not yet complete.
5. Business value gap: stronger rich-result readiness can improve search presentation and shopper confidence before users reach a product page.</t>
  </si>
  <si>
    <t>1. Save Rich Results or Schema.org validator outputs for homepage, PDP, and PLP.
2. Review PDP Product schema fields for rich-result completeness.
3. Add or improve PLP product-list mapping where supported by visible product-list content.
4. Use review/rating schema only where visible source evidence supports it.
5. Add rich-result checks to shared PDP and PLP release QA.
6. Measurement focus: improvement should be visible through saved validator outputs, fewer schema warnings, stronger Product schema completeness, clearer PLP list mapping, and better eligibility for rich-result or AI answer presentation.
7. Business value connection: connect rich-result readiness to stronger search presentation, product understanding, qualified discovery, comparison confidence, and higher-quality PDP/PLP entry traffic.
8. Additional data needed: saved Rich Results or Schema.org validator outputs, structured-data crawl export, product-property review, Search Console enhancement data, review/rating source proof, and CMS/template ownership for schema QA.</t>
  </si>
  <si>
    <t>Manual E-E-A-T review from public pages and schema/content evidence</t>
  </si>
  <si>
    <t>Author/reviewer policy, claims substantiation, and expert review documentation if available</t>
  </si>
  <si>
    <t>E-E-A-T signals benefit from strong brand recognition, but page-level proof is only moderate across the sampled pages. Product-use guidance, safety context, claim support, accessibility quality, and clear content structure all influence whether users and search systems trust the page. This matters because household-cleaning decisions often involve safety, efficacy, surfaces, use cases, and confidence before a shopper moves toward a product or retailer.</t>
  </si>
  <si>
    <t>1. Brand recognition is strong, but page-level E-E-A-T proof is moderate.
2. Public pages show brand ownership and useful cleaning/disinfecting context.
3. Trust quality is weakened by accessibility issues, image-alt gaps, generic links, content-depth gaps, and limited proof modules.
4. Current PDP and PLP pages have organic value, but richer visible guidance and validation would improve confidence.
5. Product usage, safety, claim support, and category guidance need clearer evidence and structure.
6. The business impact is strongest where trust signals affect product confidence, safety perception, claim credibility, AI/search quality assessment, and movement from education to retailer handoff.</t>
  </si>
  <si>
    <t>1. Add clearer product-use guidance, safety context, claim support, and source-backed content where relevant.
2. Improve accessibility, image alt, heading structure, and link clarity as trust-quality signals.
3. Strengthen author/brand accountability cues where educational or safety-oriented content appears.
4. Align E-E-A-T work with content depth, schema, and rich-result cleanup.
5. Use priority PDP/PLP pages as proof points for stronger household-cleaning expertise.
6. Measurement focus: improvement should be visible through stronger product-use guidance, clearer safety/claim support, improved accessibility and image-alt quality, better content depth, and stronger trust/proof modules.
7. Business value connection: connect E-E-A-T signals to customer trust, product confidence, content credibility, AI/search quality assessment, and higher-quality product consideration.
8. Additional data needed: claims substantiation inputs, legal/brand review rules, product-use guidance ownership, safety content requirements, expert/source references where applicable, and Search Console or AI citation performance for trust-oriented content.</t>
  </si>
  <si>
    <t>E-E-A-T signals support trust, household-cleaning credibility, content confidence, and AI/search quality assessment.</t>
  </si>
  <si>
    <t>Manual social-link and metadata review</t>
  </si>
  <si>
    <t>Open Graph/Twitter Card validator and social profile checks</t>
  </si>
  <si>
    <t>Social presence and sharing basics are visible, but the current baseline positions social integration as a support signal rather than a proven acquisition engine. Footer channel links and social preview metadata help maintain brand consistency when pages are shared, but there is limited proof of social campaign performance, community depth, or social-to-retailer movement. This matters because social can reinforce product discovery and trust, but its business value depends on measurable journeys back to product, content, or retailer-handoff paths.</t>
  </si>
  <si>
    <t>1. Basic social presence and sharing setup are visible, but social maturity proof is limited.
2. YouTube and Facebook footer links are visible in the shared page experience.
3. Page preview hygiene exists through title, meta, og:title, and og:image signals.
4. Available checks do not show mature social engagement, campaign performance, influencer/community depth, or channel-level conversion proof.
5. Social integration works as a support signal rather than a strong acquisition engine in the current baseline.
6. The business impact is strongest where social sharing, campaign traffic, channel consistency, or social proof supports product discovery, trust, and retailer-handoff behavior.</t>
  </si>
  <si>
    <t>1. Confirm all priority pages have clean Open Graph and social preview assets.
2. Align social links, campaign paths, and product/category content so shared pages reinforce the same message.
3. Add UTM and event tracking for social-to-site journeys where campaigns are active.
4. Document channel ownership and performance evidence when available.
5. Use social proof selectively on PDP/PLP pages where it supports product confidence.
6. Measurement focus: improvement should be visible through cleaner social previews, tagged social traffic, tracked campaign paths, stronger social-to-site engagement, and documented channel performance.
7. Business value connection: connect social integration to brand consistency, content amplification, product discovery, social proof, campaign traffic quality, and retailer-handoff support.
8. Additional data needed: social channel analytics, UTM/campaign reporting, social referral landing-page behavior, influencer/community program data if applicable, social preview QA, and social-to-retailer event tracking.</t>
  </si>
  <si>
    <t>Manual front-door review of sign-up and lead-capture paths</t>
  </si>
  <si>
    <t>ESP/CRM form analytics and consent-capture data if available</t>
  </si>
  <si>
    <t>Email and lead-capture entry points are visible, but the maturity of the first-party relationship model is not fully visible from the public pages. Sign-up paths create a starting point for education, offers, reminders, and lifecycle engagement, but preference depth, segmentation, consent handling, and performance proof need more validation. This matters because lead capture can extend value beyond a single visit when it clearly connects consumer interest to useful follow-up and product engagement.</t>
  </si>
  <si>
    <t>1. Email and lead-capture entry points are visible, but maturity proof is limited.
2. Homepage and PDP experiences include sign-up or newsletter-style paths.
3. The public checks do not show preference-center depth, lifecycle segmentation, sampling flows, consent-state handling, or email performance.
4. Capture is present, but the value exchange and operational maturity are not fully visible.
5. Email capture should connect more clearly to product education, cleaning tips, coupons/promotions, and lifecycle engagement.
6. The business impact is strongest where lead capture turns product interest into first-party relationships, repeat engagement, promotional value, lifecycle journeys, or future product consideration.</t>
  </si>
  <si>
    <t>1. Review newsletter and sign-up flows for clarity, consent language, field friction, and confirmation behavior.
2. Connect email capture to clear consumer value such as cleaning tips, product guidance, savings, reminders, or seasonal content.
3. Validate preference-center, unsubscribe, consent, and privacy behavior.
4. Track sign-up impressions, submissions, errors, and source page in GA4/GTM.
5. Add lifecycle and segmentation evidence when CRM access is available.
6. Measurement focus: improvement should be visible through clearer value exchange, lower form friction, validated consent handling, tracked source-page performance, stronger preference capture, and visible lifecycle segmentation.
7. Business value connection: connect lead capture maturity to first-party relationship growth, retention, education, coupon/promotion value, repeat engagement, and downstream product consideration.
8. Additional data needed: CRM/email platform access, preference-center flow, consent-state mapping, sign-up funnel analytics, source-page attribution, segmentation rules, lifecycle journey data, and email performance metrics.</t>
  </si>
  <si>
    <t>Live page language/region checks</t>
  </si>
  <si>
    <t>Screaming Frog hreflang crawl recommended for full localization validation</t>
  </si>
  <si>
    <t>The sampled experience is clear for U.S. English users, but broader internationalization and localization maturity is not visible from the current pages. Market-specific language, routing, hreflang, regional claims, and localized retailer availability would only become material if multi-market growth is part of scope. This matters because localization affects discoverability, compliance, trust, and retailer relevance when customers search or buy across different regions.</t>
  </si>
  <si>
    <t>1. Sampled pages are clear for a U.S. English experience, but internationalization evidence is limited.
2. No hreflang or broader localization proof was found in the available page checks.
3. Where-to-Buy and retailer handoff exist, but market-specific availability proof is not documented.
4. Language, market routing, localized content, regional compliance, and localized product availability need more evidence before maturity can be claimed.
5. The business impact becomes strongest if the brand needs regional search visibility, localized product guidance, market-specific claims, or region-specific retailer handoff.</t>
  </si>
  <si>
    <t>1. Confirm whether the experience is intended to serve only the U.S. market or multiple regions.
2. If multiple markets are in scope, validate hreflang, localized URLs, language routing, regional content, and retailer availability.
3. Review localized product claims, safety language, and compliance requirements by market.
4. Add localization checks to SEO and release QA for priority templates.
5. Measurement focus: localization maturity should be measured through hreflang coverage, regional URL/content mapping, language routing, localized claims review, market-specific retailer availability, and regional search performance.
6. Business value connection: connect localization maturity to regional discoverability, customer trust, compliance confidence, market-specific product relevance, and localized retailer-handoff quality.
7. Additional data needed: market scope, target countries/languages, localized URL strategy, regional retailer availability, claims/compliance rules by market, Search Console country/language data, and localization ownership.</t>
  </si>
  <si>
    <t>Semrush Domain Overview + Backlink Analytics</t>
  </si>
  <si>
    <t>Ahrefs backlink export as supporting follow-up</t>
  </si>
  <si>
    <t>Domain authority is solid, but the brand does not appear category-leading against stronger competitors in the available benchmark. Organic scale and high-value PLP traffic show meaningful discoverability, but page-level backlink quality and link equity are not yet separated for priority product and category pages. This matters because authority influences credibility, ranking potential, AI/search confidence, and the ability to defend high-value organic demand against competitors.</t>
  </si>
  <si>
    <t>1. The brand domain is solid, but authority is not category-leading.
2. Semrush authority score is 48, which is below Clorox at 57.
3. Organic scale is meaningful but is behind stronger competitors in the available comparisons.
4. The Lysol Disinfectant Spray PLP has a 15.5K organic traffic signal and should be protected as a high-value page.
5. Page-specific backlink quality, referring domains, anchor mix, toxic links, and link equity by URL are not separated in the available checks.
6. The business impact is strongest where authority affects ranking potential, competitive visibility, search trust, AI/search citation confidence, and protection of high-value organic pages.</t>
  </si>
  <si>
    <t>1. Add backlink-quality and referring-domain exports for the domain and priority PDP/PLP URLs.
2. Review anchor mix, toxic-link risk, competitor referring domains, and high-authority source opportunities.
3. Strengthen internal linking to the Lysol Disinfectant Spray PLP and priority PDPs.
4. Use content authority work to earn relevant links around cleaning, disinfecting, safety, and product-use topics.
5. Track authority growth against Clorox, Mr. Clean/Microban, and Seventh Generation.
6. Measurement focus: improvement should be visible through stronger authority score, healthier referring-domain quality, cleaner anchor mix, lower toxic-link risk, improved page-level link equity, and stronger competitor gap closure.
7. Business value connection: connect authority growth to competitive SEO strength, search credibility, AI/search confidence, protected organic demand, and stronger product/category discovery.
8. Additional data needed: backlink exports, referring-domain quality report, toxic-link review, URL-level link equity, competitor backlink gap, anchor-text profile, and organic landing-page performance for priority PDP/PLP pages.</t>
  </si>
  <si>
    <t>Competitive baseline using the same public tools across Lysol and competitors</t>
  </si>
  <si>
    <t>Competitor reports from CWV, SEO, GEO, ADA, Best Practices, Security, and Technology Profile folders</t>
  </si>
  <si>
    <t>The competitor benchmark shows where Lysol has defendable strengths and where competitors appear stronger in discovery, trust, and product consideration. Lysol benefits from clear brand recognition and meaningful organic demand on key product/category journeys, but competitors show stronger signals in areas such as domain authority, selected SEO depth, accessibility quality, content/proof depth, and some category content or commerce support. The business gap is not one single weakness; it is the risk that shoppers may find, trust, or compare competitor pages more easily at high-intent moments before they reach a Lysol product or retailer path.</t>
  </si>
  <si>
    <t>1. The competitive benchmark shows a mixed position rather than a single low or high score.
2. Lysol has meaningful brand strength, clear product/category demand, solid web security, and visible data-layer coverage.
3. The main competitive gaps are mobile performance, mobile CLS, product proof, category content depth, accessibility issue volume, organic scale, and reputation proof.
4. Competitor leaders vary by metric, so the improvement path is targeted rather than one generic fix.
5. Business value gap: closing the highest-impact gaps can improve discovery, product confidence, retailer handoff, and repeat engagement.</t>
  </si>
  <si>
    <t>1. Use the benchmark to protect high-value Lysol pages and close gaps where competitors appear strongest.
2. Prioritize homepage, Lysol Toilet Bowl Lime &amp; Rust Remover 24oz PDP, and Lysol Disinfectant Spray PLP because these pages influence discovery, product consideration, and retailer handoff.
3. Focus the backlog on mobile performance, content depth, product proof, rich-result readiness, accessibility detail, review/reputation proof, and authority growth.
4. Keep competitor conclusions directional where page-type coverage is uneven.
5. Refresh the benchmark when additional competitor PDP, PLP, content, reputation, and traffic reports are available.
6. Measurement focus: improvement should be visible through reduced gaps in organic visibility, mobile performance, content depth, accessibility quality, product proof and review visibility, rich-result readiness, authority, and priority page engagement.
7. Business value connection: connect competitor gap closure to stronger market position, better qualified acquisition, clearer product confidence, improved trust, and stronger retailer-handoff readiness.
8. Additional data needed: completed competitor page-type reports, competitor keyword/content gaps, competitor reputation/review signals, competitor AI citation comparison, organic landing-page trends, retailer-handoff benchmarks, and a business-value ranking for gap closure.</t>
  </si>
  <si>
    <t>Not scored - traffic source data not available in current scope</t>
  </si>
  <si>
    <t>GA4, Search Console, paid media, retail-media, and campaign landing-page data</t>
  </si>
  <si>
    <t>Traffic analysis cannot be fully scored from public data alone. Public SEO signals show meaningful organic demand for priority product and category journeys, but first-party analytics are needed to understand source mix, audience quality, campaign contribution, engagement, and retailer-handoff behavior. This matters because traffic volume only becomes business value when it can be connected to qualified visits, product consideration, and conversion proxy movement.</t>
  </si>
  <si>
    <t>1. Traffic analysis is not fully scoreable without GA4 or equivalent first-party analytics access.
2. Public SEO signals show meaningful organic demand, including a 3.5K signal for the Lysol Toilet Bowl Lime &amp; Rust Remover 24oz PDP and a 15.5K signal for the Lysol Disinfectant Spray PLP.
3. Source mix, audience demographics, paid/organic split, campaign quality, bounce/engagement, and conversion contribution are not externally visible.
4. Public traffic signals can prioritize pages, but they cannot confirm channel performance or audience behavior.
5. The business impact is strongest where traffic quality, audience fit, campaign source, device behavior, and retailer-handoff events determine whether demand turns into measurable value.</t>
  </si>
  <si>
    <t>1. Add GA4 or analytics exports for source/medium, campaigns, landing pages, audience, device, geography, engagement, and conversion events.
2. Compare traffic quality for homepage, PDP, PLP, education content, and campaign/sign-up pages.
3. Tie organic demand signals to journey, content, conversion, and retailer-handoff events.
4. Keep public SEMrush traffic data as prioritization context, not as a substitute for first-party analytics.
5. Measurement focus: traffic maturity should be measured through channel mix, landing-page quality, audience behavior, engagement depth, campaign performance, device/geography patterns, and conversion proxy events.
6. Business value connection: connect traffic analysis to demand sizing, acquisition quality, campaign efficiency, product consideration, audience insight, and retailer-handoff contribution.
7. Additional data needed: GA4 or analytics exports, source/medium and campaign reports, landing-page engagement, device/geography data, audience segments, retailer-click events, sign-up events, and attribution or conversion proxy definitions.</t>
  </si>
  <si>
    <t>Manual landing-page structure review + Semrush/SEO evidence</t>
  </si>
  <si>
    <t>Wayback, SimilarWeb, paid-media landing-page samples, and campaign URLs if available</t>
  </si>
  <si>
    <t>Landing-page structure is clear at a role level, but maturity is uneven across the sampled homepage, PDP, and PLP pages. The homepage supports broad discovery, the PDP supports product consideration and retailer handoff, and the PLP has strong organic value as a category entry point. The business opportunity is to make these pages work harder as acquisition and consideration destinations by strengthening content depth, proof, accessibility, performance, and product/category structure.</t>
  </si>
  <si>
    <t>1. Public page roles are clear, but landing-page maturity is uneven.
2. The homepage acts as a brand/category gateway with product discovery, education paths, sign-up, and promo content.
3. The Lysol Toilet Bowl Lime &amp; Rust Remover 24oz PDP supports product consideration and retailer handoff.
4. The Lysol Disinfectant Spray PLP is a high-value category landing page with a 15.5K organic traffic signal.
5. Landing-page quality is held back by content depth, proof modules, accessibility issues, image/link governance, performance, and uneven product/category structure.
6. The business impact is strongest where landing-page structure affects message match, product discovery, organic acquisition, campaign readiness, product confidence, and retailer-handoff readiness.</t>
  </si>
  <si>
    <t>1. Treat the Lysol Disinfectant Spray PLP as a priority acquisition landing page.
2. Improve category copy, product-card clarity, proof modules, image/list rules, headings, and internal links.
3. Strengthen PDP content, ratings/reviews visibility, schema, and retailer-handoff clarity.
4. Improve homepage hierarchy so campaign messaging, product discovery, education, and sign-up paths work together.
5. Add landing-page structure checks to shared Gatsby/Contentstack template QA.
6. Measurement focus: improvement should be visible through clearer page roles, stronger message match, richer category/PDP content, better proof modules, stronger accessibility/performance quality, and improved product-to-retailer journey paths.
7. Business value connection: connect landing-page maturity to organic acquisition, campaign readiness, product consideration, content efficiency, retailer-handoff quality, and conversion proxy movement.
8. Additional data needed: campaign landing-page map, GA4 landing-page performance, source/medium and campaign data, product-card clicks, retailer-click events, PDP/PLP engagement depth, message-match criteria, and page-priority list.</t>
  </si>
  <si>
    <t>Manual front-end/design-system review from public pages</t>
  </si>
  <si>
    <t>Figma, Storybook, component library, and design-system documentation if available</t>
  </si>
  <si>
    <t>Design-system and component maturity appears limited from the available outside-in view. The same accessibility, image, heading, link, content, schema, and product-listing issues appear across page types, which suggests reusable component and template rules need stronger governance. This matters because mature components help teams improve quality once, reuse it across journeys, reduce rework, and protect consistency across product discovery and retailer-handoff paths.</t>
  </si>
  <si>
    <t>1. A shared React/Gatsby and Contentstack implementation is visible across homepage, PDP, and PLP page types.
2. Repeated accessibility, image-alt, heading, link, content, and schema issues point to component governance gaps rather than isolated page issues.
3. Product and listing templates need stronger reusable rules for images, list semantics, ARIA, keyboard/focus behavior, and product proof modules.
4. No internal design-system library, design-token file, Figma source, Storybook, component owner map, or acceptance checklist was included in the available checks.
5. The Lysol Disinfectant Spray PLP is a high-value page, so listing components should be treated as priority design-system assets.
6. The business impact is strongest where weak component governance creates repeated defects, inconsistent product experiences, slower releases, accessibility risk, and avoidable rework.</t>
  </si>
  <si>
    <t>1. Convert repeated findings into component-level rules for image alt, headings, landmarks, lists, links, schema, and interaction states.
2. Create or share a component inventory for homepage, PDP, PLP, content blocks, product cards, media, forms, and retailer-handoff components.
3. Add accessibility acceptance checks to reusable components before template releases.
4. Document token, CMS, and component ownership so fixes are applied once and reused across page types.
5. Use the Lysol Disinfectant Spray PLP and Lysol Toilet Bowl Lime &amp; Rust Remover 24oz PDP as priority validation templates for component improvements.
6. Measurement focus: improvement should be visible through fewer repeated template defects, stronger component acceptance checks, better accessibility consistency, cleaner image/link/schema rules, and faster reuse of fixes across page types.
7. Business value connection: connect component maturity to consistent brand experience, faster release quality, lower rework, accessibility confidence, product-journey consistency, and more reliable retailer-handoff components.
8. Additional data needed: design-system or component library access, design-token file, Figma source, Storybook or component docs, component owner map, CMS model ownership, and acceptance/release checklist.</t>
  </si>
  <si>
    <t>Not scored - ContentOps process evidence not available</t>
  </si>
  <si>
    <t>CMS workflow, content calendar, approval history, and publishing SLA data</t>
  </si>
  <si>
    <t>ContentOps maturity is not externally scoreable from the current public baseline. Repeated content-depth, metadata, image-alt, readability, and category-content issues suggest that internal authoring rules, ownership, workflow, and editorial QA would be important to validate. This matters because content quality only scales when teams can consistently publish, update, and measure product, category, education, and campaign content without recreating the same issues across templates.</t>
  </si>
  <si>
    <t>1. ContentOps maturity is not externally scoreable from the available public review.
2. Public findings show content-depth, readability, low text-to-HTML, metadata, image-alt, and category-content issues.
3. The recurring nature of these issues suggests content governance and CMS authoring rules need review.
4. Ownership, workflow, editorial QA, publishing cadence, approval process, and measurement feedback are not visible from public reports.
5. The business impact becomes strongest where weak content operations affect publishing quality, organic demand capture, accessibility, product education, campaign readiness, and repeat content rework.</t>
  </si>
  <si>
    <t>1. Review ContentOps ownership for homepage, PDP, PLP, education, and campaign content.
2. Define CMS authoring rules for titles, H1s, metadata, body copy, image alt, internal links, FAQs, and schema-ready content.
3. Add editorial QA before publishing high-value product and category pages.
4. Connect content updates to SEO, accessibility, schema, and analytics validation.
5. Score this metric once workflow, ownership, QA, and publishing evidence is available.
6. Measurement focus: ContentOps maturity should be measured through clear ownership, publishing workflow, editorial QA, authoring standards, release cadence, defect recurrence, and feedback from SEO/accessibility/analytics checks.
7. Business value connection: connect ContentOps maturity to scalable content quality, faster campaign updates, reduced rework, stronger organic discovery, better product education, and more consistent retailer-handoff journeys.
8. Additional data needed: CMS workflow access, content owner map, editorial QA checklist, publishing calendar, approval process, content governance rules, and performance feedback loop from SEO/analytics/accessibility checks.</t>
  </si>
  <si>
    <t>Not scored - SDLC process evidence not available</t>
  </si>
  <si>
    <t>Release process, QA gates, deployment logs, and regression test history</t>
  </si>
  <si>
    <t>SDLC process oversight is not externally scoreable without release, QA, and engineering evidence. The public baseline shows several recurring areas that would benefit from release gates, including performance, accessibility, security headers, consent, tracking, SEO, schema, and third-party scripts. This matters because customer-facing improvements only hold business value if releases can prevent regressions across homepage, PDP, PLP, content, tag, and vendor-script changes.</t>
  </si>
  <si>
    <t>1. SDLC process oversight is not externally scoreable without release and engineering evidence.
2. Public checks show several areas that should be release-gated: CWV, accessibility, security headers, cookies, dataLayer, SEO, schema, and third-party scripts.
3. No deployment cadence, release checklist, regression-test coverage, rollback record, incident record, or ownership model was available.
4. The recurring template issues suggest release governance should include shared Gatsby/Contentstack components and third-party tag changes.
5. The business impact becomes strongest where release gaps cause regressions in product discovery, campaign landing pages, trust signals, measurement quality, accessibility, or retailer-handoff journeys.</t>
  </si>
  <si>
    <t>1. Create release gates for CWV, accessibility, SEO, schema, security headers, consent, dataLayer, and third-party tags.
2. Add template-level regression checks for homepage, PDP, and PLP releases.
3. Document release owners, approval steps, rollback steps, and post-release monitoring checks.
4. Tie tag and vendor-script changes to the same release governance as code/template changes.
5. Score this metric when release-process and QA evidence is available.
6. Measurement focus: SDLC oversight should be measured through release checklist coverage, regression-test results, defect recurrence, rollback history, ownership clarity, post-release monitoring, and release-gate pass/fail trends.
7. Business value connection: connect SDLC oversight to stable customer journeys, lower regression risk, protected campaign performance, reliable measurement, security/privacy confidence, and predictable delivery quality.
8. Additional data needed: deployment cadence, release checklist, QA/regression coverage, rollback records, incident history, owner/RACI model, vendor-tag change process, and post-release monitoring reports.</t>
  </si>
  <si>
    <t>Not scored - marketing operations process evidence not available</t>
  </si>
  <si>
    <t>Campaign intake, tagging workflow, launch SLA, and issue-response data</t>
  </si>
  <si>
    <t>MarkOps responsiveness is not externally scoreable without marketing intake, campaign workflow, SLA, and turnaround evidence. The public experience shows sign-up, promotional, category, product, and retailer-handoff paths, but it does not show how quickly those experiences can be updated when business needs change. This matters because campaign value depends on the ability to publish, QA, track, and adjust high-value pages without creating content, tracking, consent, or handoff issues.</t>
  </si>
  <si>
    <t>1. MarkOps responsiveness is not externally scoreable without intake, campaign, and turnaround evidence.
2. Public pages show sign-up, promotional, category, product, and retailer-handoff paths, but operational responsiveness behind those changes is not visible.
3. No campaign request queue, SLA, publishing calendar, approval workflow, or performance feedback loop was available.
4. Content and landing-page findings suggest campaign and content changes should be governed through clear operational workflows.
5. The business impact becomes strongest where slow or unclear MarkOps processes affect campaign launches, promotional updates, sign-up paths, tracking quality, retailer links, or high-value content changes.</t>
  </si>
  <si>
    <t>1. Document marketing request intake, prioritization, ownership, and turnaround expectations.
2. Add QA for campaign landing pages, sign-up paths, tracking, consent, and retailer-handoff links.
3. Create a feedback loop between campaign performance, content updates, and page remediation.
4. Track time-to-publish and rework for high-value page changes.
5. Score this metric once MarkOps workflow and SLA evidence is available.
6. Measurement focus: MarkOps responsiveness should be measured through request intake volume, SLA adherence, time-to-publish, rework rate, QA pass rate, campaign-change cycle time, and post-launch performance feedback.
7. Business value connection: connect MarkOps responsiveness to timely campaign execution, faster content updates, cleaner tracking, stronger campaign landing pages, lower rework, and better retailer-handoff reliability.
8. Additional data needed: marketing request queue, SLA definitions, publishing calendar, approval workflow, campaign QA checklist, performance feedback loop, time-to-publish data, and rework/defect logs.</t>
  </si>
  <si>
    <t>Not scored - digital issue workflow evidence not available</t>
  </si>
  <si>
    <t>Ticket queue, incident log, support SLA, and escalation data</t>
  </si>
  <si>
    <t>Operational responsiveness for digital issues is not externally scoreable without ticket, SLA, ownership, or support evidence. The public baseline shows customer-facing issues across performance, accessibility, content, SEO, tracking, and retailer handoff, but it does not show how quickly those issues are triaged or resolved. This matters because high-value product and category journeys need a clear response path when defects affect discovery, trust, measurement, or buying intent.</t>
  </si>
  <si>
    <t>1. Responsiveness for digital issues is not externally scoreable without ticket, SLA, or support evidence.
2. Public findings identify customer-facing digital issues across performance, accessibility, content, SEO, conversion handoff, and tracking.
3. The available checks do not show how issues are triaged, assigned, prioritized, resolved, or reported.
4. High-value pages such as the Lysol Disinfectant Spray PLP need a clear issue-response path because they carry meaningful organic demand.
5. The business impact becomes strongest where unresolved digital issues affect product discovery, campaign landing pages, accessibility, privacy/tracking confidence, retailer handoff, or high-traffic product/category journeys.</t>
  </si>
  <si>
    <t>1. Define intake and triage rules for digital issues affecting homepage, PDP, PLP, content, forms, and retailer handoff.
2. Set severity levels based on customer impact, traffic value, compliance risk, and conversion risk.
3. Assign owners for content, design, analytics, SEO, accessibility, and conversion issues.
4. Track response time, resolution time, reopening, and business impact.
5. Score this metric when ticket/SLA evidence is available.
6. Measurement focus: operational responsiveness should be measured through ticket intake, severity assignment, owner clarity, first-response time, resolution time, reopen rate, SLA adherence, and business-impact tagging.
7. Business value connection: connect issue responsiveness to protected customer experience, lower defect duration, faster recovery on priority pages, reliable measurement, and continuity of product and retailer-handoff journeys.
8. Additional data needed: ticket queue, SLA definitions, severity model, owner/RACI map, resolution history, reopen data, incident reports, and business-impact tagging for digital issues.</t>
  </si>
  <si>
    <t>Not scored - technical issue workflow evidence not available</t>
  </si>
  <si>
    <t>Engineering tickets, incident history, release defects, and root-cause records</t>
  </si>
  <si>
    <t>Operational responsiveness for technical issues is not externally scoreable without incident, monitoring, escalation, and engineering support evidence. The public baseline shows technical risks across performance, JavaScript, security policy, caching, consent, schema, and third-party scripts, but it does not show how quickly technical incidents are detected, assigned, resolved, or rolled back. This matters because platform stability and recovery speed protect product discovery, campaign traffic, measurement quality, privacy confidence, and retailer-handoff continuity.</t>
  </si>
  <si>
    <t>1. Responsiveness for technical issues is not externally scoreable without incident, monitoring, or engineering support evidence.
2. Public findings identify technical risks across CWV, JavaScript, security headers, CDN/cache behavior, cookies, schema, and third-party scripts.
3. The available checks do not show incident detection, escalation, root-cause analysis, rollback speed, or engineering ownership.
4. Technical response needs to cover shared templates, tags, consent scripts, media delivery, and retailer-handoff dependencies.
5. The business impact becomes strongest where technical incidents affect availability, page speed, consent behavior, analytics reliability, search visibility, product rendering, or retailer-handoff paths.</t>
  </si>
  <si>
    <t>1. Define severity and escalation paths for technical issues affecting availability, performance, security, consent, analytics, and page rendering.
2. Connect monitoring alerts to owners and release windows.
3. Add root-cause and rollback documentation for major template, tag, and infrastructure changes.
4. Track response and recovery time for high-priority digital incidents.
5. Score this metric when incident/support evidence is available.
6. Measurement focus: technical responsiveness should be measured through alert coverage, incident detection time, escalation time, owner assignment, root-cause completion, rollback speed, recovery time, and repeat-incident rate.
7. Business value connection: connect technical responsiveness to platform stability, faster recovery, protected campaign traffic, reliable measurement, privacy/security confidence, and uninterrupted product-to-retailer journeys.
8. Additional data needed: monitoring/alert setup, incident history, escalation process, owner/RACI map, root-cause records, rollback records, recovery-time data, and support/on-call coverage.</t>
  </si>
  <si>
    <t>Not scored - digital operations efficiency evidence not available</t>
  </si>
  <si>
    <t>Content/change cycle time, rework rate, workflow ownership, and SLA data</t>
  </si>
  <si>
    <t>Operational efficiency for digital issues is not externally scoreable without workflow, delivery, and rework evidence. The public baseline shows recurring issues across content, accessibility, SEO, schema, images, and components, which suggests that page-by-page fixes could create avoidable waste. This matters because efficiency improves when repeated issues are converted into shared CMS rules, content standards, component fixes, and reusable QA checks that scale across homepage, PDP, PLP, and campaign journeys.</t>
  </si>
  <si>
    <t>1. Operational efficiency for digital issues is not externally scoreable without workflow or delivery evidence.
2. Recurring findings across content, accessibility, SEO, schema, and image rules suggest avoidable rework if fixes remain page-by-page.
3. Public checks do not show work intake quality, cycle time, rework rate, ownership clarity, or reporting visibility.
4. Efficiency is likely improved by moving repeated issues into CMS, content, and component standards.
5. The business impact becomes strongest where repeated digital fixes slow campaign work, increase operational waste, delay product-page improvements, or allow the same defects to return across templates.</t>
  </si>
  <si>
    <t>1. Group recurring digital issues into shared template, CMS, and content-rule backlogs.
2. Track cycle time, rework, and defect recurrence for content, SEO, accessibility, and conversion fixes.
3. Create reusable QA checklists for homepage, PDP, PLP, and campaign pages.
4. Use high-value pages as validation points before scaling fixes across templates.
5. Score this metric when workflow and delivery evidence is available.
6. Measurement focus: operational efficiency should be measured through cycle time, rework rate, defect recurrence, reusable fix adoption, QA checklist coverage, owner clarity, and reporting visibility.
7. Business value connection: connect operational efficiency to lower delivery waste, faster scalable fixes, fewer repeat defects, better campaign readiness, consistent product journeys, and stronger quality at lower effort.
8. Additional data needed: workflow board, work intake quality, cycle-time data, rework/defect recurrence reports, owner/RACI map, reusable QA checklist, and backlog categorization by template/CMS/component rule.</t>
  </si>
  <si>
    <t>Not scored - technical operations efficiency evidence not available</t>
  </si>
  <si>
    <t>Deployment frequency, defect leakage, MTTR, automation coverage, and release metrics</t>
  </si>
  <si>
    <t>Operational efficiency for technical issues is not externally scoreable without engineering workflow, automation, and throughput evidence. The public baseline shows repeated technical themes across performance, JavaScript/CSS, image delivery, security policy, caching, and third-party scripts, which are better handled through reusable fixes and automated checks than one-off remediation. This matters because focused, repeatable engineering effort reduces recurring defects, protects release quality, and keeps priority product journeys stable with less waste.</t>
  </si>
  <si>
    <t>1. Operational efficiency for technical issues is not externally scoreable without engineering workflow evidence.
2. Public checks show repeated technical themes across performance, JS/CSS, image delivery, security headers, PWA/cache behavior, and third-party scripts.
3. The available checks do not show automation, CI/CD checks, defect recurrence, dependency management, or engineering throughput.
4. Technical efficiency depends on turning recurring issues into shared automated checks and reusable fixes.
5. The business impact becomes strongest where recurring technical debt slows releases, increases rework, creates repeated defects, or weakens product, campaign, and retailer-handoff journeys.</t>
  </si>
  <si>
    <t>1. Add automated checks for CWV budgets, accessibility, schema, security headers, links, image rules, and console errors.
2. Track technical debt themes by shared template, component, tag, and vendor dependency.
3. Use bundle analysis and release gates to reduce recurring JS/CSS and third-party script issues.
4. Measure defect recurrence and time-to-fix after remediation releases.
5. Score this metric when engineering workflow evidence is available.
6. Measurement focus: technical efficiency should be measured through automated check coverage, defect recurrence, technical-debt themes, time-to-fix, CI/CD gate results, dependency hygiene, and reusable fix adoption.
7. Business value connection: connect technical efficiency to focused engineering effort, lower rework, faster scalable fixes, more predictable release quality, stronger platform stability, and protected product-to-retailer journeys.
8. Additional data needed: engineering workflow evidence, CI/CD checks, automated QA coverage, defect recurrence reports, dependency inventory, technical debt backlog, time-to-fix data, and release-gate results.</t>
  </si>
  <si>
    <t>Not scored - monitoring/reporting access not available</t>
  </si>
  <si>
    <t>GA4 dashboards, alerting, monitoring, SLA, and executive report inventory</t>
  </si>
  <si>
    <t>Monitoring and reporting maturity is not fully scoreable without dashboard, alert, ownership, and trend-reporting evidence. Individual public signals exist across uptime, DNS, performance, SEO, accessibility, and security checks, but the baseline does not show whether these signals are connected into an owned operating view. This matters because monitoring only creates business value when issues are detected early, assigned clearly, tracked through remediation, and connected to priority product, campaign, and retailer-handoff journeys.</t>
  </si>
  <si>
    <t>1. Monitoring and reporting maturity is not fully scoreable without dashboard, alert, and ownership evidence.
2. Some public monitoring signals exist, including uptime, DNS, Pingdom, Lighthouse, Semrush, and tool-based page checks.
3. The available checks do not show an integrated monitoring dashboard, alert thresholds, owner escalation, trend reporting, or remediation tracking.
4. Monitoring should connect technical health, SEO, accessibility, privacy, analytics, and high-value page performance.
5. The business impact becomes strongest where missing monitoring delays detection of performance, availability, consent, tracking, SEO, accessibility, or retailer-handoff issues on priority pages.</t>
  </si>
  <si>
    <t>1. Create a recurring digital health dashboard covering CWV, uptime, SEO, accessibility, security headers, cookies, dataLayer, schema, and traffic signals.
2. Define alert thresholds and owners for availability, performance, conversion handoff, consent, and analytics issues.
3. Track remediation status and before/after results for homepage, PDP, and PLP fixes.
4. Add monthly trend reporting for high-value pages.
5. Score this metric when dashboard and reporting evidence is available.
6. Measurement focus: monitoring maturity should be measured through dashboard coverage, alert thresholds, owner assignment, escalation rules, remediation tracking, trend reporting, and before/after impact visibility.
7. Business value connection: connect monitoring to early warning, accountability, faster issue resolution, protected high-value pages, reliable measurement, and continuity of product and retailer-handoff journeys.
8. Additional data needed: digital health dashboard access, alert configuration, owner/escalation map, monthly trend reports, remediation backlog, before/after reporting, and KPI definitions by priority page.</t>
  </si>
  <si>
    <t>Not scored - team operating model evidence not available</t>
  </si>
  <si>
    <t>Team structure, RACI, governance forums, and cross-functional working model</t>
  </si>
  <si>
    <t>Digital team structure and collaboration cannot be fully assessed from public page checks alone. The findings span many ownership areas, including content, SEO, accessibility, analytics, privacy, security, engineering, CMS, design, and marketing operations, but role clarity and decision flow are not visible. This matters because recurring cross-functional issues are easier to resolve when ownership, decision rights, escalation paths, and operating cadence are clear across business, brand, content, analytics, and technology teams.</t>
  </si>
  <si>
    <t>1. Digital team structure and collaboration is not externally scoreable without stakeholder or ownership evidence.
2. Public findings span many ownership areas: content, SEO, accessibility, analytics, privacy, security, engineering, CMS, design, and marketing operations.
3. The available checks do not show role clarity, decision cadence, escalation paths, capability coverage, or cross-functional workflow.
4. Repeated template and governance issues suggest collaboration needs to be explicit across business, brand, content, analytics, and technology owners.
5. The business impact becomes strongest where unclear ownership slows remediation, increases rework, weakens release quality, or delays improvements to priority product and category journeys.</t>
  </si>
  <si>
    <t>1. Map owners for content, CMS, engineering, analytics, privacy, SEO, accessibility, security, design, and campaign operations.
2. Define decision rights for shared Gatsby/Contentstack templates, tags, schema, product pages, and category pages.
3. Create a cross-functional remediation cadence for high-value pages and recurring issues.
4. Add escalation paths for release, incident, and compliance-sensitive changes.
5. Score this metric when team and collaboration evidence is available.
6. Measurement focus: collaboration maturity should be measured through owner clarity, decision-rights coverage, meeting/remediation cadence, escalation paths, cross-functional backlog progress, and recurring-issue reduction.
7. Business value connection: connect team structure and collaboration to faster decisions, reduced rework, clearer accountability, stronger release quality, and more consistent product/category/customer journeys.
8. Additional data needed: team/RACI map, stakeholder interviews, operating cadence, decision-rights model, escalation process, cross-functional backlog, release governance, and remediation ownership records.</t>
  </si>
  <si>
    <t>Live property review + technology/profile evidence</t>
  </si>
  <si>
    <t>Certificate transparency, DNS enumeration, SecurityTrails, Wayback, and Google site: sweep for full inventory</t>
  </si>
  <si>
    <t>The main public web property is clear, but the full digital surface area is not fully inventoried from the current baseline. Owned paths, CMS assets, consent hosts, analytics/tag hosts, fonts, media delivery, redirects, and retailer-handoff destinations all affect the customer journey and operating risk. This matters because property governance helps protect security, performance, privacy, brand consistency, and continuity across high-value product, category, and campaign paths.</t>
  </si>
  <si>
    <t>1. The main public property is clear, with homepage, PDP, and PLP paths under the main public web property.
2. Shared external surfaces are visible, including Contentstack image/media hosts, OneTrust consent scripts, external fonts, analytics/tag hosts, and retailer-handoff technology.
3. The Lysol Disinfectant Spray PLP is a high-value property path with a 15.5K organic traffic signal.
4. The available reports do not include a full owned-domain, subdomain, redirect, host-owner, third-party destination, or security-status inventory.
5. Property governance links directly to performance, cookies, security, accessibility, brand consistency, and retailer handoff quality.
6. The business impact is strongest where unmanaged hosts, redirects, third-party destinations, or orphaned properties affect trust, security, privacy, performance, or product-to-retailer continuity.</t>
  </si>
  <si>
    <t>1. Build a maintained property and host inventory for owned domains, subdomains, redirects, CMS assets, tags, consent hosts, fonts, and retailer-handoff destinations.
2. Map each host to owner, purpose, consent category, security status, performance impact, and business dependency.
3. Prioritize governance for homepage, Lysol Toilet Bowl Lime &amp; Rust Remover 24oz PDP, and Lysol Disinfectant Spray PLP paths.
4. Review third-party destinations and orphaned or historical properties for risk.
5. Recheck the inventory during release, tag, CMS, and campaign changes.
6. Measurement focus: inventory maturity should be visible through complete domain/subdomain coverage, host-owner mapping, third-party dependency classification, security status, redirect hygiene, consent-category mapping, and orphaned-asset tracking.
7. Business value connection: connect property inventory to better governance, lower security/privacy risk, stronger brand consistency, cleaner performance ownership, and more reliable retailer-handoff paths.
8. Additional data needed: owned-domain/subdomain list, DNS records, redirect map, host/vendor owner map, third-party destination inventory, security status by host, consent-category mapping, and campaign/property lifecycle records.</t>
  </si>
  <si>
    <t>Manual AI prompt/citation testing across Google AI Overview, AI Mode, ChatGPT, and Gemini</t>
  </si>
  <si>
    <t>AI discoverability is strongest in the U.S. and weaker worldwide. The brand appears relevant to disinfecting, cleaning, toilet-bowl, mold and mildew cleaning, laundry, and cleaning-use questions, but page-level contribution from priority PDP and PLP journeys is not fully proven. This matters because AI answers can shape early product consideration before users reach search results, brand pages, or retailer pathways.</t>
  </si>
  <si>
    <t>1. AI discoverability is stronger in the U.S. than worldwide.
2. Semrush AI Visibility shows 76/100 in the U.S. and 42/100 worldwide.
3. AI Overview is the largest captured visibility channel, followed by Gemini, AI Mode, and ChatGPT.
4. Relevant topic signals exist for disinfecting, cleaning, toilet-bowl, mold and mildew cleaning, laundry, and cleaning-use questions.
5. Page-level AI citation contribution is not fully proven for the Lysol Toilet Bowl Lime &amp; Rust Remover 24oz PDP or Lysol Disinfectant Spray PLP.
6. The business impact is strongest where AI answers influence brand awareness, product consideration, comparison queries, cleaning-use decisions, and movement toward PDP, PLP, or retailer-handoff paths.</t>
  </si>
  <si>
    <t>1. Expand cited-source coverage for priority cleaning and disinfecting topics.
2. Add the Lysol Toilet Bowl Lime &amp; Rust Remover 24oz PDP and Lysol Disinfectant Spray PLP to cited-page and topic validation.
3. Build answer-ready content around product use cases, safety, formats, comparisons, and cleaning guidance.
4. Track whether priority PDP and PLP URLs appear in AI citations and answer sources.
5. Protect strong U.S. visibility while improving worldwide source coverage.
6. Measurement focus: improvement should be visible through higher AI Visibility, broader topic coverage, stronger cited-source presence, more priority PDP/PLP citations, and better worldwide coverage.
7. Business value connection: connect AI discoverability to early product consideration, qualified discovery, answer-engine visibility, PDP/PLP entry quality, and retailer-handoff readiness.
8. Additional data needed: priority AI prompt set, cited-page tracking across AI answer engines, topic coverage map, AI/referral landing-page behavior, PDP/PLP engagement, retailer-click events, and competitor citation comparison.</t>
  </si>
  <si>
    <t>AI discoverability shows whether the brand can appear in AI answers for relevant consumer questions.</t>
  </si>
  <si>
    <t>Not scored - internal automation/process evidence not available</t>
  </si>
  <si>
    <t>Client process inventory, automation use cases, workflow tools, and operations data</t>
  </si>
  <si>
    <t>Business process operations using automation and AI cannot be externally scored from the current public baseline. The available checks show digital, analytics, security, and monitoring signals, but they do not show internal process volume, cycle time, staffing, cost-to-serve, quality metrics, or AI controls. This matters because automation and AI only create business value when they improve repeatable operational work while preserving quality, privacy, approvals, and escalation paths.</t>
  </si>
  <si>
    <t>1. Business process operations using automation and AI is not externally scoreable from the available evidence.
2. Public reports show digital, data-layer, analytics, security, and monitoring signals, but they do not show internal operational workflows.
3. No process inventory, automation backlog, cost-to-serve data, quality metrics, staffing model, or AI operating controls were available.
4. This metric requires stakeholder/process evidence before a maturity score can be assigned.
5. The business impact becomes strongest where automation can reduce repetitive work, speed reporting or QA, improve consistency, lower cost-to-serve, or support higher-quality operational decisions.</t>
  </si>
  <si>
    <t>1. Identify repetitive operational tasks that could benefit from automation or AI assistance.
2. Review process volume, cycle time, error rate, ownership, risk, and control requirements.
3. Define where AI can support content operations, reporting, QA, analytics review, or support workflows.
4. Establish guardrails for approvals, quality checks, privacy, and escalation.
5. Score this metric once process and operating evidence is available.
6. Measurement focus: automation maturity should be measured through process inventory, automation backlog, cycle-time reduction, error-rate reduction, quality checks, approval coverage, privacy controls, and human escalation paths.
7. Business value connection: connect automation and AI use to faster operations, lower repetitive effort, more consistent QA/reporting, reduced cost-to-serve, and better operating decisions.
8. Additional data needed: process inventory, task volume, cycle-time data, error/rework rates, staffing model, cost-to-serve, automation backlog, approval workflow, AI governance controls, and quality-monitoring data.</t>
  </si>
  <si>
    <t>Business process operations using automation and AI shows how operational work can become faster, lower-effort, and more consistent.</t>
  </si>
  <si>
    <t>Manual on-site search review</t>
  </si>
  <si>
    <t>BuiltWith/Wappalyzer and search-route checks</t>
  </si>
  <si>
    <t>On-site AI search maturity is low in the current baseline. A basic search entry point is visible, but the expected search-results behavior and any intelligent search capability are not confirmed. This matters because users looking for a specific cleaning need, surface, product format, or use case may depend on navigation and browsing instead of a search experience that quickly guides them to the right content, product, or retailer-handoff path.</t>
  </si>
  <si>
    <t>1. A basic site-search entry point is visible, but intelligent search maturity is low.
2. The expected public search-results route did not resolve in the current check.
3. No deployed search engine such as Algolia, Constructor, Searchspring, semantic search, vector search, or natural-language product finder is confirmed in the saved reports.
4. Product and category discovery currently depends on navigation, browsing, content, and retailer handoff.
5. Search-query reporting, zero-result terms, and search-to-product click performance are not available.
6. The business impact is strongest where weak search limits product finding, content discovery, use-case matching, high-intent journeys, and faster movement to PDP, PLP, or retailer-handoff paths.</t>
  </si>
  <si>
    <t>1. Confirm and repair the public search-results route and global search behavior.
2. Add search-query reporting, zero-result reporting, and search-to-product click measurement.
3. Improve synonym handling for cleaning needs, product formats, surfaces, and use cases.
4. Evaluate guided or semantic search for product discovery once basic search analytics are stable.
5. Use PLP and PDP journeys to test whether search helps users reach the right product faster.
6. Measurement focus: improvement should be visible through functioning search results, fewer zero-result terms, better query-to-product clicks, stronger synonym handling, faster product discovery, and clearer search-to-retailer-handoff paths.
7. Business value connection: connect on-site search maturity to product finding, content discovery, high-intent engagement, product consideration, and faster movement to retailer handoff.
8. Additional data needed: search platform access, query logs, zero-result reports, search-result click data, search-to-PDP/PLP paths, synonym rules, product taxonomy, and search conversion proxy events.</t>
  </si>
  <si>
    <t>On-site AI search maturity supports better product and content discovery within the brand ecosystem.</t>
  </si>
  <si>
    <t>Manual competitor AI-feature benchmark</t>
  </si>
  <si>
    <t>Public competitor page review and technology-profile signals</t>
  </si>
  <si>
    <t>Visible customer-facing AI feature maturity is low across the sampled homepage, PDP, and PLP pages. The experience has foundational browse, search, analytics, and retailer-handoff capabilities, but no confirmed AI-guided product finder, natural-language assistant, visual search, recommendation layer, review summary, or personalized listing experience. This is an open category opportunity: practical AI features could help consumers choose products by need, surface, format, safety context, or use case when the right controls and measurement are in place.</t>
  </si>
  <si>
    <t>1. No clear customer-facing AI feature is visible across the sampled homepage, PDP, and PLP pages.
2. Search, browse, retailer handoff, analytics, and behavior tools are present, but they are foundational digital features.
3. No guided product finder, natural-language assistant, visual search, AI recommendation layer, review summary, or personalized listing experience is confirmed.
4. The direct competitor set also appears early, so the opportunity remains open across the category.
5. Feature maturity is low because visible AI decisioning and measured feature outcomes are not present.
6. The business impact is strongest where AI features could improve product selection, education, confidence, use-case matching, and movement toward retailer handoff.</t>
  </si>
  <si>
    <t>1. Start with practical AI use cases such as guided product finder, smarter search, product-question answers, and recommendation support.
2. Define which consumer questions AI should answer and which safety or product-claim boundaries must apply.
3. Add measurement for feature usage, product selection, retailer handoff, and satisfaction.
4. Benchmark against competitor feature patterns as more reports become available.
5. Avoid calling foundational browse/search/tag capabilities AI features unless an AI decisioning layer is visible.
6. Measurement focus: improvement should be visible through confirmed AI feature presence, feature usage, product-selection outcomes, user satisfaction, retailer-handoff movement, and safe answer/product-claim boundaries.
7. Business value connection: connect AI feature maturity to assisted product selection, education quality, personalization readiness, shopper confidence, and faster movement from question to product or retailer path.
8. Additional data needed: AI feature roadmap, priority consumer questions, product taxonomy, claims/safety guardrails, usage analytics, satisfaction data, retailer-handoff events, and competitor AI feature inventory.</t>
  </si>
  <si>
    <t>BuiltWith/Wappalyzer personalization signals</t>
  </si>
  <si>
    <t>Manual front-door review and analytics/personalization access if available</t>
  </si>
  <si>
    <t>Personalization readiness is partial. Analytics, tags, consent tooling, and retailer/data signals provide a foundation, but no visible AI-driven personalized product ordering, recommendation, content, or decisioning experience is confirmed. This matters because personalization only creates business value when it responsibly makes product discovery, education, and retailer handoff more relevant for different shopper needs and can prove lift through measurement.</t>
  </si>
  <si>
    <t>1. Personalization foundations exist through analytics, tags, consent tooling, and retailer/data signals.
2. No visible AI-driven personalized page, product ordering, recommendation, or content experience is confirmed.
3. BuiltWith shows artificial-intelligence maturity at 0, while openness and visibility signals are stronger.
4. Personalization maturity is partial because the data foundation exists, but decisioning and measured lift are not proven.
5. Consent, cookie, dataLayer, and event-quality gaps also limit personalization readiness.
6. The business impact is strongest where personalization could improve product relevance, content guidance, product comparison, repeat engagement, and retailer-handoff quality.</t>
  </si>
  <si>
    <t>1. Define priority personalization use cases for product discovery, category guidance, education content, and retailer handoff.
2. Validate consent and data-layer quality before using behavioral or segment-based personalization.
3. Start with simple segment-based recommendations before moving to AI-driven decisioning.
4. Measure impact on product discovery, PDP engagement, PLP clicks, and retailer handoff.
5. Document governance for data use, privacy, testing, and content/product rules.
6. Measurement focus: improvement should be visible through validated consent/data quality, defined personalization use cases, recommendation or segment performance, PDP/PLP engagement lift, and retailer-handoff movement.
7. Business value connection: connect personalization maturity to relevance, guided product discovery, repeat engagement, stronger content usefulness, and improved conversion proxy behavior.
8. Additional data needed: consent/data-use rules, segment definitions, event-quality validation, personalization platform or roadmap, A/B testing setup, recommendation logic, product taxonomy, PDP/PLP engagement, and retailer-click events.</t>
  </si>
  <si>
    <t>AI-powered personalization supports relevance, product and information discovery, and guided decisioning.</t>
  </si>
  <si>
    <t>Manual conversational-AI review</t>
  </si>
  <si>
    <t>Wappalyzer/live-chat vendor signals and support-flow review</t>
  </si>
  <si>
    <t>Conversational AI maturity is low because no chatbot, live chat, product assistant, or automated help workflow is visible in the sampled experience. Product and support content exist, but users do not have a conversational layer for product selection, surface safety, use-case guidance, claims questions, or support escalation. This matters because conversational assistance can improve customer convenience and product confidence only when answers are governed, safe, measurable, and connected to the right product or support path.</t>
  </si>
  <si>
    <t>1. No visible chatbot, live chat, conversational product assistant, or automated help workflow is confirmed.
2. Product and support content exist, but there is no conversational layer that answers product, safety, or use-case questions.
3. No transcript, containment, escalation, satisfaction, or knowledge-quality evidence is available.
4. Competitors also appear early in conversational AI maturity, but some show stronger help/contact signals.
5. The current maturity gap is conversational service, not basic content availability.
6. The business impact is strongest where assisted answers could reduce confusion, support product selection, clarify use cases, handle safety boundaries, and move users toward product or retailer paths.</t>
  </si>
  <si>
    <t>1. Define the highest-value conversational use cases, such as product selection, surface safety, usage guidance, and support escalation.
2. Create approved answer boundaries for claims, safety, legal, and retailer-handoff topics.
3. Add escalation paths when a question requires human support or official documentation.
4. Measure containment, escalation, satisfaction, and product-click outcomes if an assistant is introduced.
5. Keep chatbot scope narrow until content, governance, and measurement are ready.
6. Measurement focus: conversational maturity should be measured through approved use cases, answer quality, containment, escalation success, satisfaction, product-click outcomes, and safe handling of claims/safety questions.
7. Business value connection: connect conversational AI to assisted product selection, customer convenience, lower support friction, stronger product confidence, and better movement from question to product or retailer path.
8. Additional data needed: support/contact volume, top consumer questions, approved knowledge base, claims/safety guardrails, escalation workflow, transcript analytics, satisfaction data, and product/retailer-click events.</t>
  </si>
  <si>
    <t>Manual automation-readiness review + BuiltWith/Wappalyzer signals</t>
  </si>
  <si>
    <t>Workflow/API documentation and business-process automation inventory if available</t>
  </si>
  <si>
    <t>Agentic AI and automation readiness is partial. The site shows useful foundations across platform, analytics, data layer, security, monitoring, and retailer handoff, but no governed action surface, workflow catalog, task endpoint, approval model, rollback path, or audit trail is visible. This matters because autonomous or agent-assisted actions can only create business value when they operate inside clear boundaries for product guidance, support routing, content lookup, retailer handoff, privacy, and risk control.</t>
  </si>
  <si>
    <t>1. Platform, analytics, data-layer, security, monitoring, and retailer-handoff foundations are visible.
2. No public agent-ready action surface, workflow catalog, task endpoint, or automation proof is visible.
3. No approval workflow, authority boundary, rollback path, exception handling, or audit trail is available in the evidence.
4. Product and listing pages support discovery and handoff, but not governed autonomous actions.
5. Agentic readiness is partial because foundations exist while safe action controls are not proven.
6. The business impact is strongest where agent-assisted workflows could safely reduce effort, improve product guidance, route support, retrieve content, or assist retailer-handoff journeys.</t>
  </si>
  <si>
    <t>1. Identify which actions could safely become agent-assisted, such as product selection, content lookup, support routing, or retailer handoff.
2. Define authority limits, approval rules, fallback paths, and audit requirements before enabling actions.
3. Create a controlled action catalog rather than exposing broad autonomous workflows.
4. Connect agentic readiness to data quality, consent, security, and monitoring controls.
5. Score higher only when governed workflows, endpoints, and rollback evidence are available.
6. Measurement focus: agentic readiness should be measured through defined action catalog, safe endpoints, authority limits, approval coverage, fallback paths, audit logs, rollback controls, and monitored task outcomes.
7. Business value connection: connect agentic readiness to controlled automation, lower support effort, faster task completion, safer product guidance, and reliable movement from question to content, product, or retailer path.
8. Additional data needed: workflow catalog, action/API inventory, authority model, approval rules, fallback and rollback process, audit-log design, data/consent controls, security review, and monitoring for task outcomes.</t>
  </si>
  <si>
    <t>Manual AI-agent readiness checks</t>
  </si>
  <si>
    <t>robots.txt, sitemap, llms.txt/agent-file checks, and public content clarity review</t>
  </si>
  <si>
    <t>AI agent readiness is currently discovery-oriented, not action-ready. Product and category pages are accessible and readable, but the site does not yet provide clear agent guidance, answer boundaries, content policies, public action catalogs, or evaluation processes. This matters because external AI agents and answer systems can influence product understanding, but safe reuse depends on clear guidance around product claims, safety, usage, privacy, and retailer-handoff boundaries.</t>
  </si>
  <si>
    <t>1. Basic crawler access is open and a sitemap is declared.
2. Product and category pages are readable and discoverable, but not packaged as agent guidance.
3. The standard llms.txt path is not confirmed live.
4. No public agent manifest, API/action catalog, response policy, evaluation process, or safety governance is visible.
5. Readiness is discovery-oriented, not agent-ready for safe actions.
6. The business impact is strongest where external AI agents or answer systems interpret product claims, safety guidance, usage instructions, category choices, or retailer-handoff paths.</t>
  </si>
  <si>
    <t>1. Add agent guidance only after content, claims, safety, and product-use boundaries are defined.
2. Consider an llms.txt or equivalent guidance file for priority product, category, and policy content.
3. Define allowed and blocked answer areas for product claims, safety, usage, and retailer handoff.
4. Create an evaluation process for AI answers before encouraging agent reuse.
5. Connect agent readiness to schema, content quality, privacy, and governance work.
6. Measurement focus: AI agent readiness should be measured through crawler guidance, llms.txt or equivalent coverage, content boundary definitions, answer evaluation results, schema/content quality, and safe-use governance.
7. Business value connection: connect agent readiness to safer AI interpretation, product understanding, answer consistency, brand trust, and controlled discovery paths toward product or retailer action.
8. Additional data needed: agent guidance strategy, llms.txt requirements, claims/safety boundaries, content policy, evaluation rubric, schema/content inventory, privacy guidance, and ownership for AI answer governance.</t>
  </si>
  <si>
    <t>AI agent readiness measures whether content, data, tools, governance, and workflows can support agentic use cases.</t>
  </si>
  <si>
    <t>Well-known URI checks + robots.txt / sitemap review</t>
  </si>
  <si>
    <t>Schema.org Action, OpenAPI, commerce endpoints, and agent manifest discovery</t>
  </si>
  <si>
    <t>MCP and agentic transaction readiness is not present in the current public experience. No public MCP endpoint, agent manifest, action catalog, API discovery file, or governed transaction surface is confirmed, and the commercial model remains retailer handoff rather than owned checkout. This matters because any future agent-accessible action would need clear governance for product guidance, retailer routing, claims, privacy, fallback, rollback, exception handling, and auditability before agents can safely act on the brand’s behalf.</t>
  </si>
  <si>
    <t>1. No MCP endpoint is available at the common public path.
2. No public agent manifest, agents.json, llms.txt, OpenAPI, Swagger, or action catalog is confirmed.
3. The transaction model is retailer handoff, not owned checkout or direct payment.
4. No product action endpoint, approved action boundary, fallback, rollback, exception handling, or audit trail is visible.
5. Current evidence is below llms.txt-only maturity because no public agentic surface is confirmed.
6. The business impact becomes relevant only if the brand wants AI agents to discover approved actions, guide product selection, route users to retailers, or safely interact with product information.</t>
  </si>
  <si>
    <t>1. Do not treat the current experience as agent-transaction ready.
2. Define whether any brand-controlled agent action is desirable, such as product selection guidance or retailer routing.
3. If agentic actions are planned, start with a documented action catalog, authority rules, fallback paths, and audit logging.
4. Add llms.txt, agent manifest, OpenAPI, or MCP-style discovery only after governance is ready.
5. Keep retailer-handoff, privacy, security, and claims controls central to any future agentic surface.
6. Measurement focus: readiness should be measured through public discovery files, action catalog coverage, authority boundaries, safe fallback, rollback controls, audit logging, privacy/security review, and approved retailer-routing behavior.
7. Business value connection: connect agentic transaction readiness to safe AI-assisted product selection, controlled retailer routing, lower support friction, brand trust, and future readiness for agent-mediated discovery.
8. Additional data needed: agentic strategy, approved action inventory, API/action catalog, llms.txt or agent manifest requirements, privacy/security review, retailer-routing rules, claims boundaries, rollback/fallback process, and audit-log design.</t>
  </si>
  <si>
    <t>MCP and agentic transaction surface readiness governs whether AI agents can discover, understand, and safely act on the brand’s behalf.</t>
  </si>
  <si>
    <t>Manual trust review + SSL Labs/SecurityHeaders evidence</t>
  </si>
  <si>
    <t>Content, privacy, claims, and compliance evidence review</t>
  </si>
  <si>
    <t>Trust and credibility are strong at the core security layer, but page-level confidence is more mixed. The sampled pages show strong TLS and security-header signals, while content depth, accessibility, image-alt coverage, proof modules, reviews, consent behavior, and retailer-handoff clarity still shape whether shoppers feel confident moving from product information to buying intent. This matters because trust is built through both technical safety and visible proof that the product, page, and next action are reliable.</t>
  </si>
  <si>
    <t>1. Trust signals are strong at the transport and core-security layer, but weaker at the proof and page-quality layer.
2. TLS posture is strong, with TLS 1.3/1.2 enabled, deprecated protocols disabled, and Qualys SSL Labs A+.
3. Securityheaders.com returns A, but HTTP Security Headers Analyzer is 55.9% / C because Content Security Policy and cross-origin policy depth remain limited.
4. Content depth, image-alt gaps, accessibility issues, limited review proof, consent behavior, and retailer-handoff clarity still shape user confidence.
5. Business value gap: trust improves when technical safety, privacy behavior, product proof, and page quality all work together.</t>
  </si>
  <si>
    <t>1. Preserve the strong TLS and core-header posture while tightening Content Security Policy (CSP) and cross-origin policy depth.
2. Improve visible trust quality through accessibility fixes, image-alt rules, clearer product/category guidance, and stronger proof modules.
3. Validate consent, cookies, dataLayer, and third-party scripts as trust and privacy signals, not only technical tags.
4. Add trust checks to PDP and PLP release QA, including security headers, schema, accessibility, content quality, and retailer-handoff clarity.
5. Track trust remediation across technical security, proof content, and page-quality signals together.
6. Measurement focus: improvement should be visible through stronger security-policy depth, cleaner consent/cookie behavior, better accessibility/image-alt quality, richer proof modules, visible reviews where expected, and clearer retailer-handoff paths.
7. Business value connection: connect trust improvements to customer confidence, product consideration, privacy confidence, content credibility, and stronger retailer-handoff or conversion proxy movement.
8. Additional data needed: security-header ownership, CSP allowlist, consent/cookie inventory, ratings/reviews configuration, accessibility validation, product proof requirements, retailer-click events, and trust-related page engagement signals.</t>
  </si>
  <si>
    <t>Manual brand consistency review across homepage, PDP, and PLP</t>
  </si>
  <si>
    <t>Social preview metadata, title/H1, schema, and product naming checks</t>
  </si>
  <si>
    <t>Brand consistency is generally strong across the sampled homepage, PDP, and PLP pages, with clear naming and a consistent cleaning/disinfecting voice. The remaining gaps are less about brand identity and more about template hygiene, including image-alt quality, accessibility, headings, links, content depth, and consistent footer/social/newsletter patterns. This matters because consistent brand presentation helps users recognize the experience, trust product information, and move confidently across discovery, product, and retailer-handoff touchpoints.</t>
  </si>
  <si>
    <t>1. Brand consistency is generally solid across the sampled homepage, PDP, and PLP pages.
2. Naming and cleaning/disinfecting voice are directionally consistent.
3. The Lysol Toilet Bowl Lime &amp; Rust Remover 24oz PDP has strong product-name consistency across title and H1.
4. Consistency gaps are mostly template hygiene: image alt, accessibility, headings, links, content depth, generic links, and uneven footer/social/newsletter patterns.
5. Business value gap: consistent presentation helps users recognize the experience and move confidently across discovery, product, and retailer-handoff touchpoints.</t>
  </si>
  <si>
    <t>1. Keep brand and product naming standards consistent across homepage, PDP, PLP, social previews, and email/newsletter entry points.
2. Add template QA for image alt, headings, links, landmarks, list structure, and category content.
3. Confirm footer, social, newsletter, and support patterns render consistently across priority page templates.
4. Use official brand and channel-governance samples when available to move from outside-in consistency review to formal compliance review.
5. Protect high-value category pages with the same brand-consistency checks used for product pages.
6. Measurement focus: improvement should be visible through stronger naming consistency, cleaner template hygiene, better accessibility/image-alt coverage, consistent footer/social/newsletter patterns, and fewer page-level brand-quality defects.
7. Business value connection: connect brand consistency to recognition, customer trust, product clarity, channel continuity, and smoother discovery-to-retailer journeys.
8. Additional data needed: official brand guidelines, channel governance rules, social/email preview requirements, template QA checklist, accessibility standards, CMS publishing rules, and brand compliance review ownership.</t>
  </si>
  <si>
    <t>Trustpilot + BBB profile + BBB National Programs/NAD evidence</t>
  </si>
  <si>
    <t>Retailer reviews, Bazaarvoice/on-site reviews, support-response data, and social sentiment export if available</t>
  </si>
  <si>
    <t>Online reputation is mixed. The brand is widely recognized, but public third-party review signals are weak, the checked Better Business Bureau profile for the parent company is unfavorable, and owned product review visibility was not confirmed on the sampled PDP or PLP pages. This matters because reputation proof influences whether shoppers trust product claims, distinguish official paths from third-party experiences, and feel confident moving from product information to retailer handoff.</t>
  </si>
  <si>
    <t>1. Online reputation is a clear outside-in weakness despite strong brand recognition.
2. Trustpilot shows a weak third-party review signal: 2.1 / Poor, 58 reviews, and a high share of 1-star reviews.
3. The checked Better Business Bureau profile for the parent company is not accredited and shows a D- rating.
4. Ratings/reviews were not visible on the sampled PDP or PLP, so owned product proof is thin.
5. Business value gap: stronger review and response proof can reduce hesitation when shoppers compare cleaning and disinfecting brands.</t>
  </si>
  <si>
    <t>1. Review public reputation profiles for ownership, response posture, issue themes, and scam-site confusion.
2. Clarify official purchase, support, and retailer-handoff guidance so customers can distinguish owned pages from third-party or scam experiences.
3. Confirm whether product reviews should appear on PDP/PLP pages and fix display or vendor configuration issues if expected.
4. Add retailer review, support case, social comment, and response-log evidence for a stronger reputation baseline.
5. Keep claims governance visible and current for disinfecting, sanitizing, safety, and product-use messaging.
6. Measurement focus: improvement should be visible through clearer ownership of reputation profiles, better issue-theme tracking, visible owned/retailer review proof, stronger support guidance, and cleaner product-review display where expected.
7. Business value connection: connect reputation proof to customer confidence, product trust, reduced confusion, stronger retailer-handoff confidence, and improved conversion proxy behavior.
8. Additional data needed: reputation profile ownership, review-response logs, Trustpilot/BBB issue themes, retailer review feeds, Bazaarvoice configuration, support case themes, social comment themes, scam-site monitoring, and claims governance inputs.</t>
  </si>
  <si>
    <t>Snapshot Status</t>
  </si>
  <si>
    <t>Score (0-100)</t>
  </si>
  <si>
    <t>Scoreable metrics:</t>
  </si>
  <si>
    <t>Scored:</t>
  </si>
  <si>
    <t>% Complete:</t>
  </si>
  <si>
    <t>Out-of-range:</t>
  </si>
  <si>
    <t>N/A</t>
  </si>
  <si>
    <t>1. Clorox is strong on desktop load performance across the available homepage, PDP, and PLP evidence.
2. Clorox homepage desktop field LCP is 1.3s and desktop lab LCP is 1.2s, both better than Lysol.
3. Clorox Disinfecting Wipes PDP desktop lab LCP is 0.8s, and Clorox Products PLP desktop lab LCP is 0.7s.
4. Desktop TBT is low to moderate: homepage 10ms, PDP 360ms, and PLP 340ms.
5. Main caveat: PDP field data was not available in the baseline, so the score relies on lab evidence for that page.</t>
  </si>
  <si>
    <t>1. Clorox mobile load performance is mixed: field LCP is good where available, but lab LCP and TBT remain heavy.
2. Homepage mobile field LCP is 1.7s, but mobile lab LCP is still high at 9.4s.
3. Clorox Disinfecting Wipes PDP mobile lab LCP is 3.4s, but mobile field PDP data was not available.
4. Clorox Products PLP mobile field LCP is strong at 1.3s, but mobile lab LCP is severe at 15.7s.
5. Mobile TBT is a clear issue: homepage 1,810ms, PDP 4,580ms, and PLP 2,200ms.</t>
  </si>
  <si>
    <t>1. Clorox desktop responsiveness is strong where field INP is available.
2. Homepage desktop INP is 96ms and Clorox Products PLP desktop INP is 87ms, both within the good threshold.
3. Desktop TBT is low on the homepage at 10ms and moderate on PDP/PLP at 360ms and 340ms.
4. Main caveat: Clorox Disinfecting Wipes PDP desktop field INP was not available in the baseline.</t>
  </si>
  <si>
    <t>1. Clorox mobile responsiveness is acceptable but not clean across the available evidence.
2. Homepage mobile INP is 210ms, slightly above the good threshold and the baseline notes Clorox misses mobile field CWV only on INP.
3. Clorox Products PLP mobile INP is good at 146ms.
4. Clorox Disinfecting Wipes PDP mobile field INP was not available.
5. Heavy mobile TBT on homepage, PDP, and PLP remains a risk for interaction quality.</t>
  </si>
  <si>
    <t>1. Clorox desktop visual stability is strong on homepage and PLP, but the PDP lab result is a gap.
2. Homepage desktop field CLS is 0.01 and lab CLS is 0, which is healthy.
3. Clorox Products PLP desktop field CLS is 0.01 and lab CLS is 0.014, also healthy.
4. Clorox Disinfecting Wipes PDP desktop lab CLS is 0.208, which indicates a page-level stability issue.
5. Main caveat: PDP desktop field CLS was not available in the baseline.</t>
  </si>
  <si>
    <t>1. Clorox mobile visual stability is strong across the available homepage, PDP, and PLP evidence.
2. Homepage mobile field CLS is 0 and lab CLS is 0.
3. Clorox Disinfecting Wipes PDP mobile lab CLS is 0.012, which is healthy.
4. Clorox Products PLP mobile field CLS is 0.02 and lab CLS is 0.018, both within good range.
5. Main caveat: PDP mobile field CLS was not available in the baseline.</t>
  </si>
  <si>
    <t>1. Clorox has a cleaner Best Practices read than Lysol in the available homepage benchmark.
2. The remaining issues are deprecated API use, Content Security Policy (CSP), and source-map checks.
3. Third-party cookie exposure is not called out for Clorox in the readable homepage benchmark.
4. The score is directional because page-level Best Practices depth still needs to be confirmed across PDP and PLP templates.
5. Business value gap: cleaner script and policy behavior helps reduce reliability, privacy, and browser-compatibility risk.</t>
  </si>
  <si>
    <t>1. Clorox has a strong visible web security posture across the available homepage, PDP, and PLP evidence.
2. Qualys/TLS evidence is strong, with A+ / A results in the competitive benchmark.
3. securityheaders.com grades Clorox at A, which is comparable to Lysol and ahead of weaker competitors.
4. The main Clorox issue is Content Security Policy (CSP) and header-policy maturity.
5. Clorox should continue tightening CSP and header policy while maintaining its strong TLS posture.</t>
  </si>
  <si>
    <t>1. Clorox shows healthy infrastructure signals in the available homepage, PDP, and PLP checks.
2. Homepage uptime is captured as up / 100%, and the homepage Pingdom load time is fast at 436ms.
3. The PDP and PLP also show stable captured uptime in the sampled checks.
4. Delivery weight is still a concern: the homepage is 4.6MB with 83 requests, the PDP has 70 requests, and the PLP has 47 requests.
5. Business value gap: reliable pages help shoppers move through discovery and retailer handoff, but heavier delivery can still slow campaign and product journeys.</t>
  </si>
  <si>
    <t>1. Clorox has visible data-layer and consent signals in the available homepage benchmark.
2. The event stream is smaller than Lysol, with OneTrust / Optanon and GTM activity visible.
3. A simpler event stream can be easier to govern, but cookie inventory and consent gating are not fully proven across page types.
4. PDP and PLP privacy-tag behavior still needs confirmation for product, list, analytics, and retailer-handoff events.
5. Business value gap: clearer consent and privacy governance protects measurement quality and customer trust.</t>
  </si>
  <si>
    <t>1. Clorox has strong automated homepage Accessibility scores, with Lighthouse at 95 on mobile and desktop.
2. WAVE volume is lower than Lysol, with 3 errors and 18 alerts in the available homepage evidence.
3. AccessibilityChecker still shows 6 critical issues and manual checks remain required.
4. axe shows 1 critical, 2 serious, and 1 moderate issue, mainly around button names, contrast, and landmarks.
5. Clorox should fix accessible names, contrast, landmark structure, and manual keyboard/focus checks before treating accessibility as sign-off ready.</t>
  </si>
  <si>
    <t>1. Clorox appears modern from the available technology profile, with React / Next.js / Vercel-style signals.
2. The visible stack looks leaner than Lysol in the homepage benchmark.
3. This supports a cleaner base for shared template updates and performance work.
4. The score is not higher because product data, tags, consent behavior, and page-template governance still need deeper review.
5. Business value gap: a modern platform helps release improvements faster, but template governance determines whether shoppers see consistent product journeys.</t>
  </si>
  <si>
    <t>1. Clorox has visible homepage data-layer signals, with OneTrust / Optanon and GTM activity present.
2. The homepage event stream is smaller than Lysol's, with 11+ visible events versus Lysol's 25+ events.
3. The simpler event stream is a positive signal, but product-click, list-event, consent-state, and retailer-handoff tracking are not fully proven.
4. PDP and PLP tracking quality still needs validation across product cards, filters, ratings, and outbound retailer actions.
5. Business value gap: better event quality shows which journeys help shoppers move from product interest to retailer action.</t>
  </si>
  <si>
    <t>1. Clorox has a clean 100 / 100 homepage Lighthouse SEO result, but that does not prove complete schema quality.
2. The site audit still flags structured-data items for Clorox.
3. Schema depth needs validation across homepage, PDP, PLP, and sub-brand templates.
4. Product, Offer, AggregateRating/Review, BreadcrumbList, and FAQ/how-to schema should be confirmed only where the page content supports it.
5. Business value gap: stronger schema can improve product visibility in search and AI answers, but incomplete fields can limit rich-result readiness.</t>
  </si>
  <si>
    <t>1. Clorox has strong site-architecture signals in the available SEO benchmark.
2. The homepage has a clean 100 / 100 Lighthouse SEO result.
3. Clorox also has stronger authority, organic traffic, and keyword footprint than Lysol.
4. The score is moderated because the baseline still calls out hreflang, duplicate meta, and structured-data items.
5. Business value gap: cleaner crawl health helps search engines understand important pages and protects organic discovery.</t>
  </si>
  <si>
    <t>1. Clorox looks healthy on error and redirect health in the available SEO checks.
2. The homepage has a clean 100 / 100 Lighthouse SEO result.
3. The main site-audit items are hreflang, duplicate meta, and structured data rather than a severe broken-link pattern.
4. A fresh crawl is still needed to confirm 404s, redirect chains, temporary redirects, canonical conflicts, duplicate metadata, and hreflang errors.
5. Business value gap: clean redirects and error handling protect search equity and reduce dead ends before product or retailer handoff.</t>
  </si>
  <si>
    <t>1. Clorox has a leaner visible technology footprint than Lysol, with GTM, GA, and Facebook Pixel called out in the homepage benchmark.
2. The baseline still shows heavy JavaScript blocking on mobile: homepage TBT 1,810ms, Clorox Disinfecting Wipes PDP TBT 4,580ms, and Clorox Products PLP TBT 2,200ms.
3. Best Practices evidence also points to deprecated API, Content Security Policy (CSP), and source-map issues, which should be handled with script governance.
4. The main concern is not just the number of tags, but the runtime cost and policy hygiene of those tags across product and listing templates.</t>
  </si>
  <si>
    <t>1. Clorox has good field LCP and CLS signals in the available homepage and Clorox Products PLP evidence.
2. Homepage field LCP is 1.7s mobile and 1.3s desktop, and Clorox Products PLP field LCP is 1.3s mobile and 1.7s desktop.
3. Lab results still show media and rendering pressure: homepage mobile LCP is 9.4s and Clorox Products PLP mobile lab LCP is 15.7s.
4. The homepage is also heavy at 4.6MB and 83 requests, which suggests image/media and asset delivery can still be tightened.
5. Clorox should right-size homepage, PDP, and PLP images, use modern formats, reserve image dimensions, and lazy-load non-critical media.</t>
  </si>
  <si>
    <t>1. Clorox has a modern React/Next.js and Vercel-style setup, which helps desktop performance.
2. Desktop lab TBT is low on the homepage at 10ms, and moderate on the Clorox Disinfecting Wipes PDP and Clorox Products PLP.
3. Mobile JavaScript blocking is the main issue: homepage TBT is 1,810ms, Clorox Disinfecting Wipes PDP TBT is 4,580ms, and Clorox Products PLP TBT is 2,200ms.
4. This suggests Clorox should focus on reducing mobile JS execution, vendor scripts, product-page bundles, and render-blocking CSS.
5. Prioritize code splitting, deferring non-critical scripts, trimming unused CSS/JS, and testing homepage, PDP, and PLP templates after each release.</t>
  </si>
  <si>
    <t>1. Clorox shows a good delivery foundation with Vercel/Next.js signals and stable sampled uptime.
2. Readable Pingdom load times are fast: homepage 436ms, PDP 797ms, and PLP 481ms.
3. The main weakness is delivery hygiene rather than availability: Pingdom grade is C 78 across homepage, PDP, and PLP.
4. Page weight and request volume still need attention, especially the homepage at 4.6MB / 83 requests and the PDP at 1.5MB / 70 requests.
5. Business value gap: stronger caching and delivery hygiene can improve product browsing speed and campaign landing efficiency.</t>
  </si>
  <si>
    <t>1. Clorox scores 36/100 in the available homepage Ecograder benchmark, the same as Lysol.
2. The homepage has a heavier sustainability profile, with 6.50MB page weight and 2.54g CO2 per page load.
3. Green hosting is scored at 0, so renewable hosting or CDN energy evidence is not confirmed in the captured report.
4. PDP and PLP Ecograder reports are not available in this baseline, but infrastructure evidence still shows request and page-weight pressure on those templates.
5. Clorox should reduce image/media weight, unused scripts, and request count, then document hosting/CDN energy evidence and re-run Ecograder.</t>
  </si>
  <si>
    <t>1. Clorox shows PWA-tab and Next.js/Vercel evidence in the available homepage, Clorox Disinfecting Wipes PDP, and Clorox Products PLP reports.
2. The reports do not confirm service worker registration, cache scope, update lifecycle, or offline behavior.
3. This means Clorox has a modern platform foundation, but PWA maturity is not proven from the baseline evidence.
4. The main risk is stale cached product, listing, consent, or tracking state across PDP and PLP templates.
5. Clorox should validate manifest fields, service worker behavior, cache expiration, fallback UX, and rollback behavior in release QA.</t>
  </si>
  <si>
    <t>1. Clorox has clear product and coupon/deals journeys, which give shoppers reasons to continue beyond basic browsing.
2. Purell adds a retailer-oriented product path in the available portfolio reports.
3. Clorox appears stronger than Lysol on coupon/deals and ratings-led decision support.
4. Actual path completion, drop-off, and retailer-click outcomes are not available, so the score remains directional.
5. Business value gap: stronger journey clarity can capture shoppers earlier, but business impact needs path and retailer-click data.</t>
  </si>
  <si>
    <t>1. The Clorox portfolio is built around retailer handoff rather than direct owned checkout.
2. Purell shows the clearest Where-to-Buy and retailer-handoff signals within the available Comp 1 reports.
3. Clorox has stronger Bazaarvoice/rating setup signals than Lysol in the sampled product pages.
4. Retailer-click and conversion-event detail is still limited in public reports.
5. Business value gap: stronger handoff and ratings proof can improve purchase confidence before shoppers leave for a retailer.</t>
  </si>
  <si>
    <t>1. Clorox shows stronger coupon/deals and rating signals than Lysol in the available engagement benchmark.
2. Purell strengthens the portfolio view through retailer-oriented product paths.
3. Clorox also shows broader social/profile signals, including Pinterest and TikTok.
4. Advanced owned engagement depth is still not fully visible from public reports.
5. Business value gap: stronger offers, ratings, and social proof can help move shoppers from awareness to product consideration.</t>
  </si>
  <si>
    <t>1. Clorox is strong on search and indexing maturity, with a clean 100 / 100 homepage Lighthouse SEO benchmark.
2. The baseline shows Clorox ahead of Lysol on core homepage SEO hygiene.
3. Clorox also has the strongest authority and keyword footprint in the competitive SEO set.
4. Purell has mixed SEO results, so the portfolio score is led mainly by Clorox.
5. Business value gap: stronger indexing and authority can help Clorox appear earlier in high-intent search journeys.</t>
  </si>
  <si>
    <t>1. Clorox sets the strongest SEO benchmark across Lighthouse SEO, authority, organic traffic, and organic keywords.
2. Clorox homepage Lighthouse SEO is 100 / 100 versus Lysol at 85 / 85.
3. Clorox authority score is 57, ahead of Lysol at 48.
4. Clorox organic keyword footprint is materially larger at 93.4K in the baseline.
5. Business value gap: stronger SEO scale improves the chance of capturing shoppers before they reach competitor or retailer pages.</t>
  </si>
  <si>
    <t>1. Clorox is the strongest Comp 1 GEO benchmark in the available reports.
2. US AI Visibility is 78 for Clorox, slightly ahead of Lysol at 76.
3. Worldwide AI Visibility is tied with Lysol at 42, but Clorox has broader cited-page and topic depth.
4. Clorox has 1.1K US cited pages and 6K US performing topics, both ahead of Lysol.
5. Business value gap: broader answer-engine coverage can help Clorox appear in more cleaning, disinfecting, and product-choice questions.</t>
  </si>
  <si>
    <t>1. Clorox content coverage appears stronger where the baseline highlights coupon/deals, product/category paths, and clean SEO basics.
2. The portfolio has stronger offer and rating signals than Lysol in several journey and engagement comparisons.
3. Purell adds retailer-oriented product content, but the report set is less complete than Clorox.
4. Content depth still needs page-level validation across Clorox, Purell, and Pine-Sol.
5. Business value gap: broader content and offer coverage can support search discovery and shopper confidence.</t>
  </si>
  <si>
    <t>1. Clorox has stronger authority signals than Lysol through authority score, organic traffic, and keyword footprint.
2. Clorox authority score is 57, the strongest in the peer set.
3. Clorox also has broader cited-page and topic breadth in GEO/AI visibility reports.
4. Product-level proof is stronger through ratings/coupons signals, but sub-brand page coverage is not complete.
5. Business value gap: stronger authority helps product and category pages earn visibility across search and AI answer journeys.</t>
  </si>
  <si>
    <t>1. Clorox has clear brand naming and cleaner basic homepage governance in the available benchmark.
2. Clorox appears stronger than Lysol on basic SEO and accessibility hygiene.
3. Broader social/profile signals support brand consistency across channels.
4. Some page-level component, script-policy, and accessibility issues remain.
5. Business value gap: consistent brand, offer, and product proof can make shopper journeys feel more reliable.</t>
  </si>
  <si>
    <t>1. Clorox shows stronger competitive content and marketing signals through coupons/deals, ratings, and organic scale.
2. The baseline positions Clorox as the SEO and authority leader in the peer set.
3. Clorox and Purell together create a stronger offer-to-retailer benchmark than Lysol.
4. Pine-Sol should be added when its reports are ready to complete the portfolio view.
5. Business value gap: stronger offers, authority, and product proof can capture demand before shoppers compare brands elsewhere.</t>
  </si>
  <si>
    <t>1. Clorox has stronger rich-result potential because its SEO foundation and domain authority are strong.
2. Clorox product pages show ratings/coupon support, which can strengthen rich-result readiness when schema fields are complete.
3. Structured-data validation is still needed across homepage, PDP, PLP, and sub-brand templates.
4. Purell is more retailer-focused and should be validated separately.
5. Business value gap: richer search presentation can improve click confidence before shoppers reach the product page.</t>
  </si>
  <si>
    <t>1. Clorox has strong brand recognition and stronger visible rating/coupon signals than Lysol in the available benchmark.
2. Clorox authority and organic scale support stronger perceived expertise and trust.
3. Product proof appears stronger where ratings and coupon paths are visible.
4. Full expert, reviewer, and content-owner proof is still not visible from public reports.
5. Business value gap: stronger trust proof can help shoppers choose a product faster and move toward retailer action.</t>
  </si>
  <si>
    <t>1. Clorox shows broader social/profile signals than Lysol, including Pinterest and TikTok in the baseline.
2. Social and owned-channel signals support awareness, consideration, and promotional discovery.
3. Clorox also has coupon/deals paths that connect campaign interest to product action.
4. Channel performance exports are not available, so business impact remains directional.
5. Business value gap: broader social presence can increase repeat exposure before shoppers decide where to buy.</t>
  </si>
  <si>
    <t>1. Clorox has visible owned engagement through coupon/deals paths and broader social/profile signals.
2. Email or lead-capture depth is not fully proven from the available public reports.
3. Purell adds product and retailer-oriented signals, but not a complete owned-audience journey.
4. Form completion, consent, segmentation, and nurture quality require owned analytics or CRM access.
5. Business value gap: stronger capture and follow-up data would show whether offers turn into repeat engagement.</t>
  </si>
  <si>
    <t>1. Clorox has stronger international markup signals than Lysol in the available localization benchmark.
2. This can help search engines understand market and language targeting more clearly.
3. The score is moderated because product-level localization still needs validation across PDP, PLP, and sub-brand pages.
4. Locale coverage, hreflang quality, canonical rules, and translated content depth need deeper review.
5. Business value gap: clearer market and language signals can protect search visibility and reduce regional journey confusion.</t>
  </si>
  <si>
    <t>1. Clorox has the strongest authority and backlink-health position in the available peer set.
2. Clorox authority score is 57 versus Lysol at 48.
3. Clorox organic traffic and keyword footprint are also stronger than Lysol.
4. Detailed backlink quality still needs deeper referring-domain review.
5. Business value gap: stronger authority can lift product and category pages in both search and AI-discovery journeys.</t>
  </si>
  <si>
    <t>1. The Comp 1 benchmark is stronger than Lysol in several high-value areas: SEO scale, authority, GEO breadth, coupons/deals, and rating signals.
2. Clorox leads the available portfolio view, while Purell adds retailer-handoff strength where available.
3. Lysol remains competitive in brand recognition, but Comp 1 has stronger discovery and product-proof signals.
4. Pine-Sol should be added when its reports are ready to complete the portfolio view.
5. Business value gap: Comp 1 can capture shoppers earlier through search, offers, ratings, and retailer paths.</t>
  </si>
  <si>
    <t>1. Clorox has a stronger homepage landing-page benchmark through 100 / 100 SEO and clearer product/coupon paths.
2. The portfolio supports product discovery, coupon/deals, and retailer-oriented journeys.
3. Purell strengthens the retailer-handoff comparison in the available reports.
4. Page-level landing quality should be expanded once Pine-Sol and additional campaign pages are available.
5. Business value gap: stronger landing-page structure can turn search, campaign, and product interest into clearer next steps.</t>
  </si>
  <si>
    <t>1. Clorox appears stronger than Lysol on basic SEO/accessibility hygiene in the available design-system benchmark.
2. Modern page quality and cleaner automated scores suggest stronger repeatable component rules in some areas.
3. Clorox still has script-policy and accessibility themes that need page-level validation.
4. Purell is a heavier legacy comparison and should be separated from Clorox when scoring sub-brands.
5. Business value gap: stronger reusable page patterns reduce repeated fixes across product, category, and campaign journeys.</t>
  </si>
  <si>
    <t>1. Clorox has a clear primary property at www.clorox.com, with Purell adding a separate portfolio property path.
2. The baseline shows sampled Comp 1 journeys staying on recognizable brand properties.
3. Clorox looks cleaner than Lysol in selected platform surfaces, but this is not a full property inventory.
4. Full domain, subdomain, redirect, host-owner, third-party, and security-status mapping still needs a deeper property register.
5. Business value gap: cleaner property ownership can reduce tracking, consent, redirect, and retailer-handoff ambiguity, but the current score should stay moderate until the inventory is complete.</t>
  </si>
  <si>
    <t>1. Clorox has a strong Comp 1 AI-discovery benchmark in the available reports.
2. Clorox slightly leads Lysol in US AI Visibility and matches Lysol worldwide.
3. Clorox has broader cited-page and topic footprints, which can support more answer-engine appearances.
4. Product-level AI visibility is not fully isolated for Clorox, Purell, or Pine-Sol.
5. Business value gap: broader AI visibility can influence shoppers before they choose a brand or product page.</t>
  </si>
  <si>
    <t>1. Public evidence does not show a mature on-site AI search experience for the Clorox portfolio.
2. Available pages support standard search, browsing, and product/category discovery rather than semantic or AI-assisted search.
3. No strong evidence of guided AI product selection is visible in the baseline.
4. This is a category-wide maturity gap, not only a Clorox gap.
5. Business value gap: better guided search could help shoppers narrow needs such as surface, usage, scent, format, or retailer availability.</t>
  </si>
  <si>
    <t>1. Clorox has useful digital engagement signals, but public AI-feature maturity appears limited.
2. Coupon/deals, ratings, and retailer paths are stronger than AI-led experiences.
3. No clear public assistant, guided cleaning advisor, or AI product matcher is confirmed.
4. Purell and Pine-Sol should be reviewed separately when their AI-feature evidence is available.
5. Business value gap: AI features could improve product selection and education, but current value is mostly from traditional engagement paths.</t>
  </si>
  <si>
    <t>1. Public evidence does not show strong AI-powered personalization across the Clorox portfolio.
2. The baseline shows engagement, coupon/deals, and social signals, but not clear personalized journeys.
3. Personalization depth would require audience, CRM, consent, and onsite decisioning data.
4. Current scoring is directional from visible public behavior only.
5. Business value gap: better personalization could connect offers, content, and product recommendations to shopper intent.</t>
  </si>
  <si>
    <t>1. No mature conversational AI or chatbot experience is confirmed for the Clorox portfolio in the available evidence.
2. Product and coupon paths are visible, but chat-led support or guided recommendations are not.
3. The category benchmark is generally low for conversational AI maturity.
4. Any service chatbot or support assistant would need separate validation.
5. Business value gap: conversational support could answer product-choice, safety, use-case, and retailer questions before drop-off.</t>
  </si>
  <si>
    <t>1. Public evidence does not show strong agentic automation readiness for the Clorox portfolio.
2. No public action catalog, workflow policy, or agent-safe product-selection rules are confirmed.
3. Current journeys remain content, coupon, retailer, and marketplace oriented.
4. This is consistent with the broader category benchmark.
5. Business value gap: agentic readiness would matter when shoppers expect automated product selection, replenishment, or retailer handoff.</t>
  </si>
  <si>
    <t>1. Clorox has stronger content/authority signals than many peers, but public AI-agent readiness remains early.
2. No public agent instructions, approved answer boundaries, or action rules are visible.
3. Product facts, schema, ratings, and category content can support future readiness, but governance is not visible.
4. Purell and Pine-Sol would need separate template-level validation.
5. Business value gap: agent-ready content could improve how AI tools explain, compare, and recommend products.</t>
  </si>
  <si>
    <t>1. No public MCP endpoint, agent manifest, llms.txt, OpenAPI, Swagger, or action catalog is confirmed for Clorox in the baseline.
2. Purell checks are blocked or inconclusive in places, so no public transaction surface is confirmed.
3. The portfolio relies on retailer or commerce handoff rather than owned agent-safe actions.
4. This is a category-wide gap across the benchmark set.
5. Business value gap: without an agent-safe transaction surface, AI-driven purchase journeys remain dependent on search, content, and retailer handoff.</t>
  </si>
  <si>
    <t>1. Clorox has strong visible trust signals through TLS/security posture, brand recognition, and ratings/coupon support.
2. Security benchmark results are strong across the available reports.
3. Clorox also has stronger product-proof signals than Lysol in ratings and coupon/deals paths.
4. Some script-policy and review-profile limits remain visible.
5. Business value gap: stronger trust proof can increase confidence before shoppers move to a retailer.</t>
  </si>
  <si>
    <t>1. Clorox shows clear brand naming and broader social/profile signals than Lysol in the available benchmark.
2. Coupon/deals and product proof provide consistent commercial signals across journeys.
3. Clorox appears stronger on basic governance, SEO, and accessibility hygiene.
4. Sub-brand consistency across Purell and Pine-Sol should be separated in later scoring.
5. Business value gap: consistent brand, offer, and proof signals help shoppers recognize the portfolio across search, social, and retailer paths.</t>
  </si>
  <si>
    <t>1. Clorox has a stronger Trustpilot score than Lysol in the available baseline, but the review sample is small.
2. Clorox also has stronger on-site rating/coupon signals than Lysol in sampled product pages.
3. Public review ownership and response proof are still limited.
4. Purell and Pine-Sol reputation should be added separately when available.
5. Business value gap: stronger reputation proof can reduce hesitation when shoppers compare disinfecting and cleaning brands.</t>
  </si>
  <si>
    <t>1. Mr. Clean is the primary P&amp;G Home Care benchmark for desktop/web load performance in the current CWV baseline.
2. Desktop field LCP is good on the homepage at 1.7s and the Shop Products PLP at 1.0s, but the PDP is slower at 2.9s.
3. Desktop lab LCP is strong on PDP and PLP, but homepage lab LCP is 3.5s and PLP desktop TBT is severe at 7,590ms.
4. Microban 24 CWV coverage is incomplete, so the portfolio score should stay moderate.
5. Business value gap: faster desktop journeys help product discovery, but PLP blocking time can still affect browsing and retailer handoff.</t>
  </si>
  <si>
    <t>1. Mr. Clean has better mobile load signals than Lysol in the available homepage, PDP, and PLP checks.
2. Mobile field LCP is good: homepage 1.7s, PDP 1.6s, and PLP 1.2s.
3. Mobile lab LCP is mixed: homepage is still slow at 7.4s, while PDP is strong at 1.7s and PLP is near threshold at 2.6s.
4. Homepage mobile TBT is high at 1,590ms, and Microban 24 mobile coverage is incomplete.
5. Business value gap: stronger mobile speed can support product consideration, but homepage script weight can still slow early discovery.</t>
  </si>
  <si>
    <t>1. Mr. Clean desktop responsiveness is strong in field INP checks.
2. Desktop field INP is 81ms on homepage, 123ms on PDP, and 80ms on PLP.
3. The main caution is the severe PLP desktop TBT at 7,590ms, which can create interaction risk in lab testing.
4. Microban 24 desktop INP coverage is not available in the current CWV baseline.
5. Business value gap: strong responsiveness supports browsing confidence, but PLP script cleanup is still needed.</t>
  </si>
  <si>
    <t>1. Mr. Clean mobile responsiveness is mostly healthy but not perfect across page types.
2. Homepage mobile INP is good at 182ms, while the PDP and PLP are just over the good threshold at 202ms.
3. Mobile TBT is low on the PDP and PLP, but homepage mobile TBT is high at 1,590ms.
4. Microban 24 mobile INP evidence is not present in the current CWV baseline.
5. P&amp;G Home Care should keep mobile interaction QA focused on homepage scripts and PDP/PLP interaction thresholds.</t>
  </si>
  <si>
    <t>1. Mr. Clean desktop visual stability is mixed because the PDP field CLS is a clear outlier.
2. Homepage desktop CLS is clean at 0, and the Shop Products PLP is acceptable at 0.05.
3. The Multi-Surface Cleaner Unstopables Fresh PDP desktop field CLS is severe at 0.55, even though lab CLS is low.
4. Microban 24 desktop CLS evidence is not available in the current CWV baseline.
5. PDP layout stability should be checked for product media, ratings, accordions, dynamic content, and consent or retail modules.</t>
  </si>
  <si>
    <t>1. Mr. Clean mobile visual stability is strong in the available CWV checks.
2. Mobile field CLS is 0 on homepage, PDP, and PLP.
3. Mobile lab CLS is also clean across the same pages, with only a very small PLP value of 0.002.
4. Microban 24 mobile CLS coverage is incomplete, so this should not be treated as a full portfolio proof point.
5. Business value gap: stable mobile pages help shoppers compare products without layout shifts interrupting the journey.</t>
  </si>
  <si>
    <t>1. P&amp;G Home Care has mixed Best Practices evidence across Mr. Clean and Microban 24.
2. Mr. Clean homepage is very strong at 96 mobile and desktop, and Microban 24 homepage is also solid at 77.
3. Product and listing pages are weaker: Mr. Clean PDP is 73 mobile / 54 desktop, and Mr. Clean PLP is 54 mobile / 54 desktop.
4. Microban 24 PDP scores 73 mobile and desktop, but a Microban 24 PLP Best Practices report is not present in the current baseline.
5. Main fixes are deprecated API cleanup, console/Content Security Policy (CSP) checks, cookie governance, and retesting PDP and PLP templates after script changes.</t>
  </si>
  <si>
    <t>1. P&amp;G Home Care has strong TLS evidence, but weak visible security-header posture across Mr. Clean and Microban 24.
2. Mr. Clean has Qualys A+ on homepage, PDP, and PLP, but securityheaders.com is C across those page types.
3. Microban 24 is weaker: Qualys is A, but securityheaders.com is F on homepage and PDP.
4. Microban 24 PLP security evidence is not present in the current baseline, so the portfolio view should be refined when that report is added.
5. Priority fixes are HSTS, Content Security Policy (CSP), X-Frame-Options, X-Content-Type-Options, Referrer-Policy, Permissions-Policy, and safer Content Security Policy (CSP) rollout across homepage, PDP, and PLP templates.</t>
  </si>
  <si>
    <t>1. Security (Mobile) is not scored for the current P&amp;G Home Care benchmark.
2. The available evidence covers web security for Mr. Clean and Microban 24, including TLS, security headers, CyScan, Content Security Policy (CSP), and visible web policy posture.
3. No native mobile app security report is present for Mr. Clean or Microban 24 in the baseline.
4. Keep this row unscored unless a native app or app-like mobile surface is explicitly added to scope.
5. If added later, validate app permissions, SDK/dependency risk, transport security, local storage, privacy controls, and release/version posture.</t>
  </si>
  <si>
    <t>1. P&amp;G Home Care infrastructure evidence is mixed across Mr. Clean and Microban 24.
2. Mr. Clean has the strongest readable speed snapshots: homepage Pingdom B 83 / 260ms, PDP B 81 / 281ms, and PLP B 84 / 290ms.
3. The caution is availability evidence: Mr. Clean monitor captures show down/current incident states on homepage, PDP, and PLP windows.
4. Microban 24 has stronger captured homepage uptime at 100%, but the homepage is heavier at 2.2MB / 31 requests and the PDP is 2.6MB / 44 requests with 1.37s load time.
5. Add Microban 24 PLP infrastructure reports and validate uptime, DNS, Pingdom/WebPageTest, cache headers, compression, page weight, and request count across both brands.</t>
  </si>
  <si>
    <t>1. P&amp;G Home Care data, cookie, and privacy evidence is incomplete in the current baseline.
2. Mr. Clean has readable cookie evidence and appears lighter on the homepage, with more moderate PDP and PLP cookie footprints than heavier competitors.
3. Mr. Clean does not have visible dataLayer checker evidence in the baseline, so event quality, product payloads, and list-event payloads are not confirmed.
4. Microban 24 data-layer and cookie reports are not present for homepage, PDP, or PLP in the current tool set.
5. Add dataLayer, cookie, consent, and GTM/CMP evidence for Mr. Clean and Microban 24 before finalizing portfolio privacy and tracking governance.</t>
  </si>
  <si>
    <t>1. P&amp;G Home Care is strong on automated accessibility benchmarks, especially Mr. Clean and Microban 24 Lighthouse scores.
2. Mr. Clean scores 100 on homepage and PLP Lighthouse, and 92 on the sampled PDP.
3. Microban 24 scores 100 on homepage and mobile PDP Lighthouse, but the PDP desktop run did not paint content.
4. The score is moderated because checker, axe, keyboard, focus, and screen-reader validation is not complete across both brands and page types.
5. Business value gap: stronger accessibility can reduce product-comparison friction, but manual validation is still needed before sign-off.</t>
  </si>
  <si>
    <t>1. P&amp;G Home Care has a modern visible platform foundation across Mr. Clean and Microban 24.
2. Homepage checks show React/Next.js, Contentful, and Vercel/Cloudflare-style delivery signals for both brands.
3. Mr. Clean PDP and PLP also show a modern Contentful/Next.js pattern.
4. Microban 24 PDP coverage is present, but dedicated Microban 24 PLP technology coverage is not complete.
5. Business value gap: a modern platform can support faster template improvements, but coverage and governance still determine consistency.</t>
  </si>
  <si>
    <t>1. Release Stability is not scored because no deployment log, release cadence, rollback record, or incident/change-management export is present for Mr. Clean or Microban 24.
2. Cross-pillar evidence still shows release-risk signals: Mr. Clean has down/current incident monitor captures, while Microban 24 has better uptime evidence but weaker header-policy posture.
3. Mr. Clean has strong homepage Best Practices, but PDP/PLP evidence still shows deprecated API, console, cookie, and monitor caveats.
4. Microban 24 has a modern Contentful/Next.js stack, but security headers, PDP page weight, and missing PLP reports leave release readiness incomplete.
5. Add release gates for CWV, Best Practices, security headers, accessibility, cookies/data layer, PDP/PLP rendering, third-party tags, rollback ownership, and post-release monitoring.</t>
  </si>
  <si>
    <t>1. Peak Usage Reliability is not scored because no load test, campaign-traffic test, failover test, or synthetic transaction history is available for Mr. Clean or Microban 24.
2. Mr. Clean has fast Pingdom snapshots on homepage, Multi-Surface Cleaner Unstopables Fresh PDP, and Shop Products PLP, but the monitor captures show down/current incident states.
3. Microban 24 has cleaner homepage and Multi-Purpose Spray Citrus PDP uptime evidence, but the PDP is heavier and does not have mature response-time history.
4. Microban 24 PLP reliability evidence is not present in the current baseline, so the P&amp;G Home Care view should be refined when that report is added.
5. Add peak-readiness checks for homepage, PDP, and PLP traffic spikes, product/listing rendering, CDN/cache behavior, third-party scripts, error rates, alert thresholds, and incident ownership.</t>
  </si>
  <si>
    <t>1. P&amp;G Home Care has limited visible data-layer evidence in the current baseline.
2. Mr. Clean has readable cookie evidence on homepage, Multi-Surface Cleaner Unstopables Fresh PDP, and Shop Products PLP, and the cookie footprint appears more moderate than heavier competitors.
3. Mr. Clean dataLayer/GTM checker evidence is not visible in the baseline, so event quality, product payloads, list payloads, and consent sequencing are not confirmed.
4. Microban 24 data-layer, GTM, and cookie evidence is not present for homepage, Multi-Purpose Spray Citrus PDP, or PLP in the current baseline.
5. Add dataLayer/GTM checks for homepage, PDP, and PLP events, consent gating, product/list payloads, tag ownership, duplicate events, and cookie creation by consent state.</t>
  </si>
  <si>
    <t>1. P&amp;G Home Care has strong SEO signals, but structured-data validation is not fully proven in the current baseline.
2. Mr. Clean has clean Lighthouse SEO evidence on the Multi-Surface Cleaner Unstopables Fresh PDP and Shop Products PLP, but the broader SEO audit still calls out structured-data review items.
3. Microban 24 has clean Lighthouse SEO evidence on the Multi-Purpose Spray Citrus PDP and homepage, but the baseline does not show a full schema-validator pass.
4. Microban 24 PLP structured-data evidence is not present in the current baseline.
5. Validate Organization, WebSite, BreadcrumbList, Product, Offer, AggregateRating/Review where supported, and PLP list schema across homepage, PDP, and PLP templates.</t>
  </si>
  <si>
    <t>1. P&amp;G Home Care has good page-level SEO signals, especially for Mr. Clean PDP/PLP and Microban 24 homepage/PDP.
2. Mr. Clean scores well in Lighthouse SEO, but the site audit still points to structured-data, HTTPS, and broken-link cleanup areas.
3. Microban 24 has clean Lighthouse SEO on homepage and PDP, but the site audit flags structured-data and low text-to-HTML items.
4. Microban 24 PLP crawl-health coverage is not present in the current baseline.
5. Business value gap: clean crawl health helps product and shop pages stay discoverable, but unresolved audit items can limit reach.</t>
  </si>
  <si>
    <t>1. P&amp;G Home Care error and redirect health is mixed across Mr. Clean and Microban 24.
2. Mr. Clean has strong page-speed snapshots, but homepage, Multi-Surface Cleaner Unstopables Fresh PDP, and Shop Products PLP monitor captures show down/current incident states.
3. Mr. Clean site-audit evidence also points to HTTPS and broken-link cleanup items.
4. Microban 24 has cleaner homepage and Multi-Purpose Spray Citrus PDP uptime evidence, but Microban 24 PLP error/redirect evidence is not present in the current baseline.
5. Run a fresh crawl and monitor pass for homepage, PDP, and PLP URLs to confirm broken links, redirect chains, HTTPS issues, 4xx/5xx errors, canonical redirects, sitemap/robots behavior, and alert thresholds.</t>
  </si>
  <si>
    <t>1. P&amp;G Home Care third-party script pressure is moderate, with the clearest risk on Mr. Clean page templates.
2. Mr. Clean has a lighter readable cookie footprint than heavier competitors, but homepage mobile TBT is high and Shop Products PLP desktop TBT is severe.
3. Mr. Clean Best Practices evidence also shows console/cookie issues on PDP and PLP, so tag and browser-governance cleanup is still needed.
4. Microban 24 uses a modern Contentful/Next.js stack with GTM, OneTrust/Optanon, CrazyEgg, and Bazaarvoice signals, but PLP script evidence is not present in the current baseline.
5. Review GTM, consent, analytics, optimization, review, and commerce scripts by page type; remove unused tags, defer non-critical scripts, and add performance budgets for homepage, PDP, and PLP releases.</t>
  </si>
  <si>
    <t>1. P&amp;G Home Care image and media optimization is stronger than Lysol in the available CWV evidence, especially on Mr. Clean PDP and PLP.
2. Mr. Clean Multi-Surface Cleaner Unstopables Fresh PDP has strong lab LCP, but desktop field CLS is high, so product media/layout stability still needs review.
3. Mr. Clean Shop Products PLP has strong LCP and a light readable Pingdom profile, but PLP desktop TBT shows that listing media and scripts should still be governed together.
4. Microban 24 homepage and Multi-Purpose Spray Citrus PDP are heavier in infrastructure evidence, and Microban 24 PLP media evidence is not present in the current baseline.
5. Validate responsive image sizes, modern formats, compression, lazy loading, reserved image dimensions, PDP gallery behavior, product-card imagery, and LCP image priority across homepage, PDP, and PLP templates.</t>
  </si>
  <si>
    <t>1. P&amp;G Home Care JS and CSS optimization is mixed across Mr. Clean and Microban 24.
2. Mr. Clean Multi-Surface Cleaner Unstopables Fresh PDP has strong lab TBT, but the homepage mobile run shows high TBT and the Shop Products PLP desktop run has severe TBT.
3. Mr. Clean Best Practices evidence also points to console/cookie cleanup on PDP and PLP, which should be handled with template JavaScript governance.
4. Microban 24 uses a modern Contentful/Next.js stack, but homepage/PDP Best Practices still show deprecated API and console/Content Security Policy (CSP) themes, and PLP evidence is not present.
5. Review app bundles, route-level JavaScript, CSS/font loading, hydration cost, consent/tag sequencing, product-card scripts, and deferred loading rules for homepage, PDP, and PLP templates.</t>
  </si>
  <si>
    <t>1. P&amp;G Home Care shows generally strong CDN and delivery signals, especially for Mr. Clean.
2. Mr. Clean uses modern Contentful/Next.js with Vercel/Cloudflare-style delivery signals, and readable Pingdom snapshots are fast on homepage, Multi-Surface Cleaner Unstopables Fresh PDP, and Shop Products PLP.
3. Mr. Clean still needs validation because monitor captures show down/current incident states, so fast one-time delivery snapshots should not be treated as full reliability proof.
4. Microban 24 has modern delivery signals and clean homepage/PDP uptime evidence, but homepage and Multi-Purpose Spray Citrus PDP are heavier than Mr. Clean in readable infrastructure results.
5. Validate CDN/cache headers, compression, browser caching, image caching, edge routing, cache purge rules, and page-level Pingdom/monitor coverage across homepage, PDP, and PLP templates.</t>
  </si>
  <si>
    <t>1. P&amp;G Home Care does not have direct Ecograder evidence for Mr. Clean or Microban 24 in the current baseline, so this score uses page-weight, request, CWV, and delivery signals.
2. Mr. Clean appears relatively efficient in readable infrastructure results: homepage is 1.2MB / 31 requests, the Multi-Surface Cleaner Unstopables Fresh PDP is 909.5KB / 31 requests, and the Shop Products PLP is 534.5KB / 21 requests.
3. Mr. Clean still has sustainability risk from homepage mobile TBT and severe Shop Products PLP desktop TBT, because heavy script execution increases energy and performance cost.
4. Microban 24 is heavier in readable evidence: homepage is 2.2MB / 31 requests and Multi-Purpose Spray Citrus PDP is 2.6MB / 44 requests; Microban 24 PLP evidence is not present.
5. Add Ecograder or equivalent carbon checks, confirm renewable hosting/CDN evidence, reduce unused scripts, optimize images/media, and track page weight and emissions across homepage, PDP, and PLP templates.</t>
  </si>
  <si>
    <t>1. P&amp;G Home Care shows PWA-related signals, but full service worker and offline maturity is not proven in the current baseline.
2. Mr. Clean has Catchpoint PWA-tab and modern Next.js/Contentful evidence, but no report confirms service worker registration, scope, update lifecycle, or offline fallback behavior.
3. Microban 24 has modern Next.js/Contentful evidence and Web App Manifest evidence on the Multi-Purpose Spray Citrus PDP, but service worker and cache behavior are not validated.
4. Microban 24 PLP PWA evidence is not present in the current baseline.
5. Validate manifest fields, installability, service worker registration, cache storage, offline fallback, update/rollback behavior, and stale-content controls for homepage, PDP, and PLP templates.</t>
  </si>
  <si>
    <t>1. Mr. Clean has clear shop/product paths and retailer-oriented journeys in the available benchmark.
2. Microban 24 adds product/protection discovery signals, but page-level coverage is more limited.
3. Mr. Clean and Microban 24 show strong automated quality signals that can support smoother discovery.
4. Actual path completion, drop-off, and retailer-click outcomes are not public, so the score remains directional.
5. Business value gap: clearer shop and product paths can help shoppers move from product interest to retailer action.</t>
  </si>
  <si>
    <t>1. P&amp;G Home Care is built around retailer handoff rather than direct owned checkout.
2. Mr. Clean shows strong PriceSpider and shop-path signals across homepage, PDP, and PLP comparisons.
3. Microban 24 also shows PriceSpider and product/protection signals, but event detail is less complete.
4. Direct checkout is not found in the benchmark set, so scoring is based on discovery-to-retailer handoff.
5. Business value gap: stronger retailer handoff can reduce friction when shoppers are ready to buy.</t>
  </si>
  <si>
    <t>1. Mr. Clean has useful product/shop and retailer-handoff features in the available engagement benchmark.
2. Mr. Clean also shows social/product signals, including TikTok evidence in the baseline.
3. Microban 24 provides partial product/protection support but less complete engagement coverage.
4. Advanced owned engagement features are still not fully visible from public reports.
5. Business value gap: stronger product support and retailer paths can move shoppers from browsing to action.</t>
  </si>
  <si>
    <t>1. P&amp;G Home Care has strong search/indexing signals, especially Microban 24 homepage and Mr. Clean PDP/PLP.
2. Microban 24 homepage Lighthouse SEO is 100 / 100, and Mr. Clean PLP is also 100 / 100.
3. Mr. Clean PDP and Microban 24 PDP are clean at 100 / 100 in the PDP benchmark.
4. Mr. Clean homepage is 92 / 92 and authority scale is not as strong as the leading benchmark, so the score is not higher.
5. Business value gap: clean search basics can help product and shop pages stay discoverable at high-intent moments.</t>
  </si>
  <si>
    <t>1. Mr. Clean and Microban 24 have strong automated SEO quality in the available page-level reports.
2. Microban 24 is clean on homepage and PDP Lighthouse SEO, while Mr. Clean is clean on PDP and PLP.
3. Mr. Clean authority score is 44 and Microban 24 authority score is 30, both below Clorox.
4. Organic scale is stronger for Mr. Clean than Microban 24, but still is behind the top authority benchmark.
5. Business value gap: strong page-level SEO helps, but lower authority limits how far those pages can scale.</t>
  </si>
  <si>
    <t>1. P&amp;G Home Care has moderate AI-search visibility, led mainly by Mr. Clean.
2. Mr. Clean US AI Visibility is 66 and worldwide AI Visibility is 35, below Lysol and Clorox.
3. Microban 24 is much lower, with US AI Visibility at 26 and worldwide at 17.
4. Mr. Clean has comparable US topic volume to Lysol, but weaker cited-page breadth.
5. Business value gap: lower AI visibility can reduce appearances in product-choice and cleaning-use questions before shoppers reach the site.</t>
  </si>
  <si>
    <t>1. Mr. Clean has useful product and shop content paths, with stronger readability signals than some peers.
2. Microban 24 supports product/protection topics, but content depth and organic scale are more limited.
3. The baseline shows Mr. Clean and Microban 24 stronger in automated quality than in authority depth.
4. Category and product content still need fuller page-level validation across both brands.
5. Business value gap: stronger content coverage would help shoppers compare use cases, surfaces, formats, and retailer options.</t>
  </si>
  <si>
    <t>1. P&amp;G Home Care content authority is mixed: Mr. Clean has useful category/product scale, while Microban 24 is smaller.
2. Mr. Clean authority score is 44, below Lysol at 48 and Clorox at 57.
3. Microban 24 authority score is 30, making it a smaller authority benchmark.
4. Automated page quality is strong, but authority and cited-page breadth are not category-leading.
5. Business value gap: lower authority can limit how often product content is found, cited, and trusted.</t>
  </si>
  <si>
    <t>1. Mr. Clean and Microban 24 show strong automated brand-quality signals in accessibility and SEO.
2. Mr. Clean has clear product/shop naming, and Microban 24 has clear product/protection positioning.
3. Automated accessibility scores are especially strong on homepage checks.
4. Some governance issues remain around security headers, data visibility, script behavior, and incomplete Microban 24 page coverage.
5. Business value gap: cleaner brand and page quality can improve shopper confidence across product journeys.</t>
  </si>
  <si>
    <t>1. P&amp;G Home Care is stronger than Lysol in selected automated quality areas, especially accessibility and page-level SEO.
2. Mr. Clean is stronger on shop/product paths and retailer handoff.
3. Microban 24 adds a clean SEO/accessibility benchmark but has a smaller authority and AI-visibility footprint.
4. Content and marketing depth is not as strong as the leading authority benchmark.
5. Business value gap: P&amp;G Home Care can compete well on page quality, but broader authority and content depth would increase discovery reach.</t>
  </si>
  <si>
    <t>1. P&amp;G Home Care has good search-quality signals, but structured-data and rich-result validation are not fully proven.
2. Mr. Clean and Microban 24 have clean SEO Lighthouse evidence on several page types.
3. Product rich-result readiness still depends on complete schema fields, product proof, and validator output.
4. Available evidence does not confirm full product-listing and review/rating schema depth across both brands.
5. Business value gap: stronger rich-result readiness can improve click confidence when shoppers compare product options in search.</t>
  </si>
  <si>
    <t>1. Mr. Clean and Microban 24 show strong automated page quality, which supports trust in the browsing experience.
2. Mr. Clean has product/shop paths and retailer handoff that support product confidence.
3. Microban 24 has clear product/protection positioning but less complete authority and reputation evidence.
4. Expert, reviewer, and content-owner proof is not fully visible from public reports.
5. Business value gap: stronger proof and ownership signals would make product guidance more convincing in search and AI journeys.</t>
  </si>
  <si>
    <t>1. Mr. Clean has visible social/product signals, including TikTok evidence in the baseline.
2. Microban 24 social evidence is more limited in the current report set.
3. Social presence supports brand recall, but full channel performance is not available.
4. Owned social integration appears less complete than brands with broader profile evidence.
5. Business value gap: stronger social integration can build repeat exposure before shoppers search or buy.</t>
  </si>
  <si>
    <t>1. P&amp;G Home Care has some owned engagement and product-path signals, but lead-capture maturity is not fully proven.
2. Mr. Clean supports product/shop journeys, while Microban 24 evidence is more partial.
3. Form completion, consent, segmentation, and nurture evidence are not available from public reports.
4. The current score is directional and based on visible public paths only.
5. Business value gap: stronger lead capture would help connect product interest to repeat engagement and promotions.</t>
  </si>
  <si>
    <t>1. Internationalization and localization signals are moderate for P&amp;G Home Care in the available baseline.
2. Mr. Clean has a clear US shop/product path, while Microban 24 is also positioned as a primary brand property.
3. The baseline does not show Clorox-level international markup strength for these brands.
4. Page-level hreflang, market, retailer, and regional product proof need fuller validation.
5. Business value gap: clearer localization can reduce search confusion and support regional product discovery.</t>
  </si>
  <si>
    <t>1. P&amp;G Home Care authority and backlink health is mixed across Mr. Clean and Microban 24.
2. Mr. Clean authority score is 44, slightly below Lysol at 48.
3. Microban 24 authority score is 30, with a much smaller organic footprint.
4. Mr. Clean has useful organic scale, but the portfolio does not lead the authority benchmark.
5. Business value gap: lower authority can limit category reach even when page-level SEO quality is strong.</t>
  </si>
  <si>
    <t>1. P&amp;G Home Care is stronger than Lysol in selected automated quality areas, especially accessibility and page-level SEO.
2. Mr. Clean is strong on retailer handoff, shop paths, PDP/PLP SEO, and accessibility benchmarks.
3. Microban 24 is strong on automated homepage/PDP SEO and accessibility, but smaller in authority and AI visibility.
4. The main gaps are security-header posture, data-layer visibility, authority scale, and complete Microban 24 page coverage.
5. Business value gap: P&amp;G Home Care can win on page quality, but weaker authority and measurement depth limit the broader competitive advantage.</t>
  </si>
  <si>
    <t>1. Mr. Clean has a strong shop/product landing structure and a clean PLP SEO benchmark.
2. Microban 24 contributes clear product/protection positioning but has less complete PLP coverage.
3. P&amp;G Home Care automated quality is strong, especially accessibility and SEO on key page types.
4. Landing-page evidence still needs fuller campaign, content-depth, and tracking validation.
5. Business value gap: stronger landing-page structure can turn product interest into clearer retailer or shop actions.</t>
  </si>
  <si>
    <t>1. P&amp;G Home Care has strong automated component-quality signals in the available benchmark.
2. Mr. Clean and Microban 24 both score 100 / 100 on homepage Lighthouse accessibility.
3. Mr. Clean also leads the PLP automated accessibility benchmark.
4. The score is moderated because automated scores do not prove full design-system maturity, and buttons, tabindex, interaction details, security headers, and data-layer behavior still need validation.
5. Business value gap: stronger reusable components can reduce repeated friction across product, shop, and listing journeys.</t>
  </si>
  <si>
    <t>1. Mr. Clean and Microban 24 both have clear primary public properties.
2. Mr. Clean uses a modern product/shop path, and Microban 24 supports a clear product/protection property.
3. Platform signals appear modern in selected surfaces, including React/Next.js-style patterns.
4. This is not a full property inventory; host-owner, consent, redirect, retailer-handoff, and security-status mapping still needs deeper review.
5. Business value gap: clear property ownership supports governance across search, tracking, consent, and retailer journeys, but the current score should stay moderate until the register is complete.</t>
  </si>
  <si>
    <t>1. P&amp;G Home Care AI discoverability is led by Mr. Clean, with Microban 24 much lower in the available reports.
2. Mr. Clean US AI Visibility is 66, while Microban 24 is 26.
3. Mr. Clean has comparable US topic volume to Lysol, but cited-page breadth is smaller than leaders.
4. Product-level AI visibility is not fully isolated for Mr. Clean or Microban 24.
5. Business value gap: stronger AI discoverability would help the brands appear in cleaning-use and product-choice answers before shoppers reach a site.</t>
  </si>
  <si>
    <t>1. Public evidence does not show a mature on-site AI search experience for Mr. Clean or Microban 24.
2. The available experience is closer to standard product/shop browsing than semantic or AI-assisted search.
3. Guided product selection or AI recommendations are not confirmed.
4. This is a category-wide maturity gap, not only a P&amp;G Home Care gap.
5. Business value gap: guided search could help shoppers choose by surface, need, format, scent, or retailer availability.</t>
  </si>
  <si>
    <t>1. P&amp;G Home Care has useful digital product paths, but public AI-feature maturity appears limited.
2. Mr. Clean and Microban 24 rely mainly on browsing, product pages, and retailer handoff.
3. No clear public cleaning assistant, AI product matcher, or guided advisor is confirmed.
4. The score is directional from visible public evidence only.
5. Business value gap: AI features could improve product selection and cleaning guidance, but current value is mostly from traditional journeys.</t>
  </si>
  <si>
    <t>1. Public evidence does not show strong AI-powered personalization for Mr. Clean or Microban 24.
2. Product and shop paths are visible, but personalized recommendations or audience-based experiences are not confirmed.
3. Personalization depth would require CRM, consent, onsite decisioning, and audience data.
4. Current scoring is directional from outside-in evidence.
5. Business value gap: personalization could connect product recommendations, offers, and content to shopper intent.</t>
  </si>
  <si>
    <t>1. No mature conversational AI or chatbot experience is confirmed for Mr. Clean or Microban 24 in the available evidence.
2. Product browsing and retailer handoff are visible, but chat-led support is not.
3. The category benchmark is generally low for conversational AI maturity.
4. Any service chatbot or assistant would need separate validation.
5. Business value gap: conversational support could answer product-choice, usage, safety, and retailer questions before drop-off.</t>
  </si>
  <si>
    <t>1. Public evidence does not show strong agentic automation readiness for P&amp;G Home Care.
2. No public action catalog, workflow policy, or agent-safe product-selection rules are confirmed.
3. Current journeys remain product, shop, and retailer-handoff oriented.
4. This is consistent with the broader category benchmark.
5. Business value gap: agentic readiness would matter when shoppers expect automated selection, replenishment, or handoff.</t>
  </si>
  <si>
    <t>1. Mr. Clean and Microban 24 have useful product content, but public AI-agent readiness remains early.
2. No public agent instructions, answer boundaries, or action rules are visible.
3. Product facts, schema, and clean page structures can support future readiness, but governance is not visible.
4. Microban 24 needs fuller coverage before final agent-readiness conclusions.
5. Business value gap: agent-ready content can improve how AI tools explain, compare, and recommend products.</t>
  </si>
  <si>
    <t>1. No public MCP endpoint, agent manifest, llms.txt, OpenAPI, Swagger, or action catalog is confirmed for Mr. Clean.
2. Microban 24 checks are blocked or error in some places, so no public transaction surface is confirmed.
3. The portfolio relies on retailer or shop handoff rather than owned agent-safe actions.
4. This is a category-wide gap across the benchmark set.
5. Business value gap: without an agent-safe transaction surface, AI-driven purchase journeys remain dependent on search, content, and retailer handoff.</t>
  </si>
  <si>
    <t>1. P&amp;G Home Care trust signals are mixed: automated page quality is strong, but security-header posture is weaker.
2. Mr. Clean and Microban 24 have strong accessibility and SEO benchmarks that support confidence.
3. Web security evidence shows weaker visible security-header grades than leading competitors.
4. Product proof and reputation evidence are useful but not complete across both brands.
5. Business value gap: stronger technical trust and product proof can improve confidence before retailer handoff.</t>
  </si>
  <si>
    <t>1. Mr. Clean and Microban 24 have clear product and brand positioning across sampled pages.
2. Automated quality is strong, especially in accessibility and SEO.
3. Mr. Clean has clearer shop/product journeys, while Microban 24 has clear product/protection positioning.
4. Consistency still needs stronger security, data-layer, property-governance, and Microban 24 PLP validation.
5. Business value gap: consistent page quality and product positioning help shoppers recognize and compare the brands across search and retailer paths.</t>
  </si>
  <si>
    <t>1. P&amp;G Home Care reputation signals are moderate in the available baseline.
2. Mr. Clean has a higher Trustpilot score than Lysol, but the sample is small.
3. Mr. Clean also shows stronger ratings and retailer-handoff support in product-page comparisons.
4. Microban 24 reputation evidence is more limited and should be expanded in later reports.
5. Business value gap: stronger reputation proof can reduce hesitation when shoppers compare cleaning and disinfecting products.</t>
  </si>
  <si>
    <t>1. Seventh Generation is strong on desktop/web load performance in the available CWV baseline.
2. Desktop field LCP is good across homepage at 2.0s, PDP at 1.6s, and PLP at 1.8s.
3. Desktop lab LCP is also strong: homepage 1.4s, PDP 2.4s, and PLP 1.4s.
4. Desktop TBT is low across the same pages, with 80ms on homepage, 40ms on PDP, and 10ms on PLP.
5. Business value gap: strong desktop delivery supports product and category browsing, but template and tag changes still need regression checks.</t>
  </si>
  <si>
    <t>1. Seventh Generation has strong mobile field LCP across the available CWV baseline.
2. Mobile field LCP is good on homepage at 1.7s, Liquid Laundry Detergent Free &amp; Clear PDP at 2.0s, and Laundry PLP at 1.3s.
3. Mobile lab LCP is still heavy: homepage 5.6s, PDP 13.7s, and PLP 8.0s.
4. Mobile TBT is also high across page types, with 1,630ms on homepage, 1,270ms on PDP, and 890ms on PLP.
5. Prioritize mobile render-path cleanup, image/media delivery, Drupal/Acquia template weight, and third-party script governance while preserving the strong field LCP profile.</t>
  </si>
  <si>
    <t>1. Seventh Generation has very strong desktop/web responsiveness in the available CWV baseline.
2. Desktop field INP is strong on homepage at 65ms, PDP at 80ms, and PLP at 73ms.
3. Desktop lab TBT is also low across page types: homepage 80ms, PDP 40ms, and PLP 10ms.
4. This is a real strength, but it should be protected during Drupal/Acquia template, tag, and product-page changes.
5. Business value gap: strong responsiveness helps users browse, compare, and move toward marketplace or retailer action.</t>
  </si>
  <si>
    <t>1. Seventh Generation mobile responsiveness is mixed in the available CWV baseline.
2. Homepage mobile INP is good at 133ms, and Laundry PLP mobile INP is also good at 112ms.
3. Liquid Laundry Detergent Free &amp; Clear PDP mobile INP is poor at 400ms, making the PDP the main mobile interaction risk.
4. Mobile lab TBT is high across page types: homepage 1,630ms, PDP 1,270ms, and PLP 890ms.
5. Prioritize PDP interaction work, JavaScript execution, product-page scripts, third-party tags, and Drupal/Acquia template performance while preserving the stronger homepage and PLP INP profile.</t>
  </si>
  <si>
    <t>1. Seventh Generation desktop/web visual stability is mixed in the available CWV baseline.
2. Homepage desktop field CLS is good at 0.07.
3. Liquid Laundry Detergent Free &amp; Clear PDP desktop field CLS is high at 0.23, and Laundry PLP desktop field CLS is also above target at 0.16.
4. Desktop lab CLS is clean across the same page types, so the main concern is field stability under real-user conditions.
5. Review product media, listing layout, embedded content, banners, fonts, and late-loading Drupal/Acquia template elements that can shift PDP and PLP layouts.</t>
  </si>
  <si>
    <t>1. Seventh Generation mobile visual stability is relatively strong in the available CWV baseline.
2. Mobile field CLS is at the good threshold on homepage at 0.10 and Liquid Laundry Detergent Free &amp; Clear PDP at 0.10.
3. Laundry PLP mobile field CLS is also good at 0.09.
4. Mobile lab CLS is clean across page types: homepage 0.081, PDP 0.007, and PLP 0.02.
5. Preserve this strength by checking media dimensions, banners, fonts, product modules, listing cards, and late-loading Drupal/Acquia components during template releases.</t>
  </si>
  <si>
    <t>1. Seventh Generation coding Best Practices are weak in the current baseline.
2. Liquid Laundry Detergent Free &amp; Clear PDP scores 54 mobile and desktop, with deprecated API usage and third-party cookie exposure.
3. Laundry PLP also scores 54 mobile and desktop, with deprecated API usage and third-party cookie exposure.
4. Homepage Best Practices coverage is incomplete because the desktop run did not paint content and the mobile file appears mismatched.
5. Prioritize deprecated API cleanup, cookie governance, console/Content Security Policy (CSP) checks, source-map/trust checks, and retesting homepage, PDP, and PLP templates after script changes.</t>
  </si>
  <si>
    <t>1. Seventh Generation is behind the stronger web security benchmarks in the current baseline.
2. Homepage evidence shows Qualys SSL Labs B and securityheaders.com C, with HTTP Security Headers depth at 39.4% / D.
3. Liquid Laundry Detergent Free &amp; Clear PDP also shows weaker visible posture, with Qualys B and securityheaders.com C.
4. Laundry PLP follows the same pattern, with Qualys B and securityheaders.com C; some detailed reports are image-only, so follow-up validation is still useful.
5. Prioritize TLS/certificate review, HSTS, Content Security Policy (CSP), X-Frame-Options, X-Content-Type-Options, Referrer-Policy, Permissions-Policy, and safer third-party script policy across homepage, PDP, and PLP templates.</t>
  </si>
  <si>
    <t>1. Security (Mobile) is not scored for the current Seventh Generation benchmark.
2. The available evidence covers web security for homepage, Liquid Laundry Detergent Free &amp; Clear PDP, and Laundry PLP.
3. No native mobile app security report is present in the baseline.
4. Keep this row unscored unless a native app or app-like mobile surface is explicitly added to scope.
5. If added later, validate app permissions, SDK/dependency risk, transport security, local storage, privacy controls, and release/version posture.</t>
  </si>
  <si>
    <t>1. Seventh Generation infrastructure evidence is limited because several infrastructure reports are image-heavy or not readable in the extracted baseline.
2. The current baseline does not provide clean readable UptimeRobot, Pingdom, page-size, request-count, or DNS details for homepage, Liquid Laundry Detergent Free &amp; Clear PDP, or Laundry PLP.
3. CWV evidence still shows strong desktop delivery, but mobile lab LCP and TBT indicate delivery and template-weight work remains.
4. Technology evidence points to a Drupal/Acquia pattern, so infrastructure validation should include CDN/cache, origin, and CMS-template delivery behavior.
5. Add readable UptimeRobot, DNSChecker, Pingdom/WebPageTest, cache-header, compression, page-weight, and request-count captures for homepage, PDP, and PLP before treating infrastructure maturity as confirmed.</t>
  </si>
  <si>
    <t>1. Seventh Generation has visible consent and data-layer evidence, but cookie governance still needs cleanup.
2. Homepage evidence shows dataLayer activity, OneTrust/Optanon consent signals, and a broad marketing/analytics cookie footprint.
3. Liquid Laundry Detergent Free &amp; Clear PDP has visible dataLayer evidence and consent signals, but the cookie footprint is also high.
4. Laundry PLP has visible list-event tracking and consent evidence, but PLP cookie footprint is also called out as high in the baseline.
5. Build a cookie inventory, validate consent gating before marketing/analytics tags fire, confirm product/list payload quality, and document GTM/tag ownership across homepage, PDP, and PLP.</t>
  </si>
  <si>
    <t>1. Seventh Generation is strong on automated accessibility benchmarks, but it is not sign-off ready.
2. Homepage Lighthouse is 91 mobile and desktop, but WAVE shows 12 errors / 52 alerts and axe shows 36 serious issues.
3. PDP and PLP Lighthouse results are strong, including PDP 100 mobile / 96 desktop and PLP 94 mobile / 99 desktop.
4. Manual keyboard, focus, screen-reader, button-name, iframe-title, contrast, heading, and ARIA checks are still needed.
5. Business value gap: accessibility strength can support inclusive shopping, but issue volume and manual validation still matter.</t>
  </si>
  <si>
    <t>1. Seventh Generation uses a mature Drupal/Acquia platform pattern with AWS/Acquia Cloud delivery evidence.
2. The core site pattern appears to be Drupal + jQuery, with Adobe Launch, GTM, OneTrust/Optanon, Bazaarvoice, and commerce/review integrations in the stack.
3. This gives the site a stable enterprise DXP base, but it also creates more template, tag, consent, and release-governance complexity.
4. Homepage, Liquid Laundry Detergent Free &amp; Clear PDP, and Laundry PLP should be reviewed together because the same platform choices affect content, product, listing, tracking, and privacy behavior.
5. Prioritize platform-version confirmation, Drupal/Acquia module review, jQuery/deprecated API cleanup, tag ownership, and template QA before major PDP or PLP releases.</t>
  </si>
  <si>
    <t>1. Release Stability is not scored for Seventh Generation in the current baseline.
2. The available evidence shows a mature Drupal/Acquia platform pattern, but it does not include release history, incident logs, rollback records, deployment cadence, or defect trend data.
3. Homepage, Liquid Laundry Detergent Free &amp; Clear PDP, and Laundry PLP should be regression-tested together because shared Drupal/Acquia templates, tags, consent scripts, and commerce/review integrations can affect multiple page types.
4. Use the current CWV, Best Practices, Security, Accessibility, and SEO checks as release QA inputs, not as a replacement for release stability evidence.
5. To score this later, collect deployment history, failed-release/rollback records, incident tickets, post-release monitoring, QA sign-off, and ownership for PDP and PLP template changes.</t>
  </si>
  <si>
    <t>1. Peak Usage Reliability is not scored for Seventh Generation in the current baseline.
2. The available evidence does not include load-test results, traffic-spike monitoring, origin/CDN stress data, queueing behavior, or incident history during campaign or seasonal peaks.
3. CWV results show strong desktop delivery, but mobile lab LCP and TBT are still heavy; this is useful performance evidence but not the same as peak reliability proof.
4. Homepage, Liquid Laundry Detergent Free &amp; Clear PDP, and Laundry PLP should be tested together because product, listing, tag, consent, review, and commerce integrations can all affect peak behavior.
5. To score this later, collect CDN/origin capacity data, synthetic monitoring, RUM during high-traffic windows, load-test results, uptime/incident history, and rollback/response plans.</t>
  </si>
  <si>
    <t>1. Seventh Generation has visible data-layer and tag-management signals across the current baseline.
2. Homepage, PDP, and PLP show OneTrust/Optanon consent signals and dataLayer activity.
3. PLP list-event tracking is visible, including view_item_list behavior.
4. Cookie and tag footprint is broad, so consent-state, event quality, and analytics governance still need deeper validation.
5. Business value gap: better event quality helps connect category/product behavior to marketplace or retailer actions.</t>
  </si>
  <si>
    <t>1. Seventh Generation has strong SEO signals in places, but structured-data evidence is not fully confirmed in the current baseline.
2. The site audit profile calls out structured data, canonical, and broken-link items, so search engines may not get a clean, consistent signal across every important page.
3. Liquid Laundry Detergent Free &amp; Clear PDP has a clean Lighthouse SEO score at 100/100, but product schema still needs separate validation.
4. Laundry PLP scores 85/85 in Lighthouse SEO and shows missing meta/canonical conflict patterns, which can also affect schema and rich-result readiness.
5. Validate Organization, WebSite, BreadcrumbList, Product, AggregateRating/Review, and FAQ/how-to schema where supported, then add structured-data QA for homepage, PDP, and PLP template releases.</t>
  </si>
  <si>
    <t>1. Seventh Generation has strong organic visibility, but crawl health is not fully clean in the current baseline.
2. The site audit profile calls out structured data, canonical, and broken-link issues, which can make important pages harder for search engines to understand consistently.
3. Liquid Laundry Detergent Free &amp; Clear PDP is strong, with a 100/100 Lighthouse SEO score and strong product-page traffic.
4. Laundry PLP is weaker, with an 85/85 Lighthouse SEO score and missing meta/canonical conflict patterns.
5. Run a fresh crawl across the homepage, PDP, PLP, and high-traffic product/category pages, then fix broken links, duplicate or missing metadata, canonical conflicts, weak internal links, sitemap/robots gaps, and low-content pages.</t>
  </si>
  <si>
    <t>1. Seventh Generation has moderate error and redirect risk in the current baseline.
2. The site audit profile calls out broken-link and canonical issues, so some URLs may send mixed signals to users and search engines.
3. Liquid Laundry Detergent Free &amp; Clear PDP is strong from an SEO score perspective, but redirect and error handling still need crawl-level confirmation.
4. Laundry PLP has missing meta/canonical conflict patterns, which should be reviewed together with redirect chains and indexable URL rules.
5. Run a fresh crawl across homepage, PDP, PLP, and high-traffic product/category pages, then fix broken links, redirect chains, 404/5xx URLs, canonical conflicts, sitemap mismatches, and outdated internal links.</t>
  </si>
  <si>
    <t>1. Seventh Generation has a heavy third-party and script-governance profile in the current baseline.
2. The technology profile shows Drupal + jQuery with GTM, Adobe Launch, GA, Hotjar, OneTrust/Optanon, and commerce/review integrations.
3. Liquid Laundry Detergent Free &amp; Clear PDP has a weak Best Practices score at 54 and the heaviest readable PDP cookie exposure in the benchmark.
4. Laundry PLP also scores 54 in Best Practices and has the heaviest readable PLP cookie exposure, with deprecated API usage still present.
5. Reduce unused tags, deprecated APIs, third-party cookies, duplicate analytics, and nonessential PDP/PLP widgets, then validate consent sequencing, console errors, Content Security Policy (CSP), and mobile TBT after cleanup.</t>
  </si>
  <si>
    <t>1. Seventh Generation has decent real-user LCP evidence, but image and media optimization still needs work.
2. Homepage field LCP is good at 1.7s mobile and 2.0s desktop, but mobile lab LCP is heavier at 5.6s.
3. Liquid Laundry Detergent Free &amp; Clear PDP has good field LCP, but mobile lab LCP is high at 13.7s, pointing to product media, template weight, and render-path cleanup.
4. Laundry PLP also has good field LCP, but mobile lab LCP is 8.0s, so product/listing imagery and listing-template payload still need optimization.
5. Right-size product and listing images, use modern formats, reserve image dimensions, preload only the true LCP image, lazy-load below-the-fold media, and keep image-alt rules aligned with accessibility and SEO QA.</t>
  </si>
  <si>
    <t>1. Seventh Generation has strong desktop JS performance, but mobile JS/CSS optimization still needs work.
2. Desktop lab TBT is low across the homepage at 80ms, Liquid Laundry Detergent Free &amp; Clear PDP at 40ms, and Laundry PLP at 10ms.
3. Mobile lab TBT is high across the same pages: homepage 1,630ms, PDP 1,270ms, and PLP 890ms.
4. The technology profile shows Drupal + jQuery with GTM, Adobe Launch, GA, Hotjar, OneTrust/Optanon, and commerce/review integrations, which increases script governance complexity.
5. Reduce unused JavaScript and CSS, replace deprecated API usage, defer noncritical tags/widgets, review render-blocking CSS/fonts, and validate console errors and mobile TBT after PDP and PLP template cleanup.</t>
  </si>
  <si>
    <t>1. Seventh Generation has a credible enterprise delivery base, but CDN and caching behavior is not fully validated in the current baseline.
2. The technology profile shows AWS / Acquia Cloud delivery for the Drupal / Acquia platform.
3. Readable Pingdom, cache-header, compression, page-weight, and request-count evidence is not available for the Seventh Generation homepage, Liquid Laundry Detergent Free &amp; Clear PDP, or Laundry PLP.
4. CWV field results are healthy, but mobile lab LCP and TBT still suggest delivery, render-path, and template-weight cleanup opportunities.
5. Capture cache headers, CDN behavior, compression, image caching, request counts, page weight, and repeat Pingdom/WebPageTest results for homepage, PDP, and PLP before treating delivery maturity as confirmed.</t>
  </si>
  <si>
    <t>1. Seventh Generation leads the available sustainability benchmark, but the result is mixed.
2. Homepage Ecograder score is 43 with Green Hosting 100, but captured emissions are very high at 23.31g per page load.
3. Liquid Laundry Detergent Free &amp; Clear PDP scores 48 with Green Hosting 100, but still shows 3.35g emissions per page load.
4. Laundry PLP is the strongest sampled page at 61, with Green Hosting 100, page-weight score 56, and 1.75g emissions per page load.
5. Keep green-hosting evidence documented, then reduce page weight, image/media payload, unused scripts, third-party tags, and template bloat across homepage, PDP, and PLP.</t>
  </si>
  <si>
    <t>1. Seventh Generation has low visible Service Worker and PWA maturity in the current baseline.
2. The homepage technology profile shows Drupal / Acquia, but no explicit PWA or manifest flag is called out for Seventh Generation.
3. Liquid Laundry Detergent Free &amp; Clear PDP also has no confirmed PWA, manifest, service-worker registration, cache strategy, or offline behavior evidence.
4. Laundry PLP likewise has no explicit PWA flag, and the baseline does not prove offline listing behavior or service-worker cache rules.
5. Validate web app manifest presence, service-worker registration, installability, cache expiration, offline fallback, consent safety, and stale product/listing data controls before treating this as a mature PWA capability.</t>
  </si>
  <si>
    <t>1. Seventh Generation has a clear purpose/category gateway with commerce and content paths.
2. The baseline shows stronger marketplace and category signals than Lysol in several journey comparisons.
3. Behavior-measurement tools such as Hotjar and Microsoft Clarity are visible.
4. Actual journey completion, drop-off, and retailer or marketplace outcomes are not public, so the score remains directional.
5. Business value gap: stronger category, commerce, and behavior signals can help shoppers move from education to product action.</t>
  </si>
  <si>
    <t>1. Seventh Generation shows clear marketplace and retailer-handoff signals in the competitive payment benchmark.
2. Direct owned checkout is not found, so the score reflects discovery-to-marketplace or retailer handoff.
3. PriceSpider and marketplace signals support purchase movement from owned pages.
4. Retailer-click and completed purchase detail is not public in the available reports.
5. Business value gap: stronger marketplace handoff can reduce the gap between product interest and purchase action.</t>
  </si>
  <si>
    <t>1. Seventh Generation has stronger behavior and commerce signals than Lysol in the available engagement benchmark.
2. The baseline shows email, social, marketplace, and PriceSpider signals.
3. Hotjar and Microsoft Clarity provide behavior-measurement signals.
4. Advanced owned engagement depth is still not fully visible from public reports.
5. Business value gap: stronger behavior and marketplace signals can help connect product discovery to buying intent.</t>
  </si>
  <si>
    <t>1. Seventh Generation search/indexing maturity is mixed.
2. PDP SEO is strong at 100 / 100, but PLP SEO is weaker at 85 / 85 due to metadata and canonical issues.
3. Homepage SEO is solid at 92 / 92, but not as clean as Clorox or Microban 24.
4. Crawl and site-audit issues still need cleanup despite strong organic scale.
5. Business value gap: search visibility is strong, but metadata and canonical issues can weaken high-intent category discovery.</t>
  </si>
  <si>
    <t>1. Seventh Generation has strong organic scale and useful page-level SEO signals.
2. Organic traffic is 136.1K and organic keywords are 33.5K in the baseline, ahead of Lysol on scale.
3. PDP Lighthouse SEO is clean at 100 / 100, while PLP SEO has metadata/canonical gaps.
4. Authority score is 45, close to Lysol but below Clorox.
5. Business value gap: strong organic scale can capture demand, but technical SEO gaps can limit category-page performance.</t>
  </si>
  <si>
    <t>1. Seventh Generation has solid AI-search visibility, especially through cited-page breadth.
2. US AI Visibility is 70 and worldwide AI Visibility is 32, below Lysol but above Microban 24.
3. Seventh Generation has 833 US cited pages and 1.5K worldwide cited pages, broader than Lysol.
4. Topic coverage is also strong, with 3.9K US and 6.1K worldwide performing topics.
5. Business value gap: broader cited-page coverage can help Seventh Generation appear in more answer-engine results for cleaning and household topics.</t>
  </si>
  <si>
    <t>1. Seventh Generation has useful category and purpose-led content signals in the available benchmark.
2. The brand has meaningful organic and topic scale, especially around laundry, disinfectants, and dish soap.
3. Readability, keyword placement, metadata, and canonical issues remain visible.
4. Product and category content still need page-level validation for complete coverage.
5. Business value gap: stronger category content can support discovery, comparison, and AI/search reuse.</t>
  </si>
  <si>
    <t>1. Seventh Generation content authority is stronger than Lysol in organic scale and cited-page breadth.
2. The baseline shows higher organic traffic and keyword footprint than Lysol.
3. GEO evidence also shows broader cited-page coverage than Lysol.
4. Authority score is moderate at 45, so domain authority is not category-leading.
5. Business value gap: stronger content authority can improve how often category and product pages are found, cited, and trusted.</t>
  </si>
  <si>
    <t>1. Seventh Generation has clear purpose-led brand positioning and category relevance.
2. Homepage and category signals support a consistent sustainability and household-product identity.
3. Accessibility, content, and metadata gaps still appear in the baseline.
4. Social, marketplace, and email signals strengthen brand continuity across journeys.
5. Business value gap: consistent purpose-led positioning can help shoppers recognize the brand during comparison and marketplace handoff.</t>
  </si>
  <si>
    <t>1. Seventh Generation is stronger than Lysol in selected content and marketing areas, especially organic scale, category content, and marketplace signals.
2. The baseline shows broader organic traffic and cited-page coverage than Lysol.
3. Marketplace, social, and behavior-measurement signals provide useful journey support.
4. Performance, security, Best Practices, and metadata issues remain gaps.
5. Business value gap: stronger category and marketplace signals can capture high-intent shoppers before they compare other brand pages.</t>
  </si>
  <si>
    <t>1. Seventh Generation has stronger saved product-schema and rich-result proof than Lysol in the available benchmark.
2. PDP rich-result readiness is stronger where product proof and schema signals are visible.
3. PLP metadata and canonical issues still reduce consistency across templates.
4. Validator proof and full required-field review are still needed for final rich-result confidence.
5. Business value gap: stronger schema and product proof can improve search result visibility and shopper confidence.</t>
  </si>
  <si>
    <t>1. Seventh Generation has strong purpose-led trust signals and useful product/category proof.
2. Marketplace, social, and category content signals support experience and authority.
3. PDP SEO and product proof are stronger than Lysol in selected comparisons.
4. Full expert, reviewer, and content-owner proof is not fully visible from public reports.
5. Business value gap: stronger trust and proof signals can help shoppers feel more confident before marketplace or retailer handoff.</t>
  </si>
  <si>
    <t>1. Seventh Generation has stronger social and audience signals than Lysol in the available benchmark.
2. The baseline shows email, social, Pinterest, Hotjar, and Microsoft Clarity signals.
3. Social and marketplace signals support category discovery and repeat exposure.
4. Full channel performance exports are not available, so impact remains directional.
5. Business value gap: broader social and audience signals can keep the brand visible before search, comparison, and purchase decisions.</t>
  </si>
  <si>
    <t>1. Seventh Generation has visible email and owned-audience signals in the available benchmark.
2. The brand also shows social and marketplace paths that support engagement beyond basic browsing.
3. Form completion, consent, segmentation, and nurture-flow evidence are not available.
4. Lead-capture maturity is stronger than basic-only peers but not fully proven.
5. Business value gap: stronger owned-audience capture can turn category interest into repeat engagement and future demand.</t>
  </si>
  <si>
    <t>1. Seventh Generation has moderate localization and market signals in the available baseline.
2. The brand has clear category paths and purpose-led positioning.
3. Clorox remains stronger on international markup in the benchmark.
4. Hreflang, market switching, retailer availability, and regional product proof need fuller validation.
5. Business value gap: stronger localization can improve market clarity for shoppers and search engines.</t>
  </si>
  <si>
    <t>1. Seventh Generation has stronger organic scale than Lysol, with 136.1K traffic and 33.5K organic keywords in the baseline.
2. Authority score is 45, close to Lysol but below Clorox.
3. GEO cited-page breadth is stronger than Lysol, especially worldwide.
4. Detailed backlink-quality review is still needed before final authority conclusions.
5. Business value gap: stronger organic and citation scale can increase discovery across search and AI answer journeys.</t>
  </si>
  <si>
    <t>1. Seventh Generation is stronger than Lysol in selected category, content, marketplace, and cited-page signals.
2. The benchmark shows stronger organic scale, marketplace signals, social/behavior signals, and product-schema proof.
3. Lysol remains competitive on brand recognition and selected product demand.
4. Seventh Generation gaps include mobile responsiveness, Best Practices, security posture, metadata/canonical issues, and script governance.
5. Business value gap: Seventh Generation can capture shoppers through category content and marketplace paths, but technical gaps still limit consistency.</t>
  </si>
  <si>
    <t>1. Seventh Generation has strong category landing-page and marketplace signals.
2. The Laundry PLP is a useful comparison for category-led discovery and handoff.
3. Organic/category footprint is strong, but PLP SEO has metadata and canonical issues.
4. Landing-page structure still needs fuller campaign and tracking validation.
5. Business value gap: stronger category pages can convert product research into marketplace or retailer action.</t>
  </si>
  <si>
    <t>1. Seventh Generation has a mature Drupal/Acquia platform pattern and strong category/page structure in places.
2. Accessibility and component quality are solid but not category-leading.
3. PLP and PDP checks show heading, contrast, frame/title, metadata, and canonical themes.
4. Best Practices and third-party/script governance weaken the component maturity picture.
5. Business value gap: stronger reusable templates can protect category, product, accessibility, and search quality at scale.</t>
  </si>
  <si>
    <t>1. Seventh Generation has a clear primary property and a mature Drupal/Acquia delivery model.
2. The baseline shows broader visible tag and consent surfaces than cleaner peers.
3. Marketplace and social paths add useful surrounding surfaces for category journeys.
4. This is not a full property inventory; host-owner, consent, redirect, marketplace, and security-status mapping still needs deeper review.
5. Business value gap: clearer property governance can reduce tracking, consent, and handoff ambiguity across category journeys.</t>
  </si>
  <si>
    <t>1. Seventh Generation has solid AI discoverability, supported by cited-page and topic breadth.
2. US AI Visibility is 70 and worldwide AI Visibility is 32.
3. Seventh Generation has more cited pages than Lysol, with 833 US and 1.5K worldwide cited pages.
4. Product and PLP-level citation is not fully isolated in the current reports.
5. Business value gap: broader AI discoverability can influence shoppers while they are researching cleaning and household-care options.</t>
  </si>
  <si>
    <t>1. Public evidence does not show a mature on-site AI search experience for Seventh Generation.
2. The available journey supports standard category, product, and marketplace discovery rather than AI-assisted search.
3. Guided product selection or AI recommendations are not confirmed.
4. This is a category-wide maturity gap, not only a Seventh Generation gap.
5. Business value gap: guided search could help shoppers choose by category, ingredient preference, use case, or retailer/marketplace availability.</t>
  </si>
  <si>
    <t>1. Seventh Generation has useful category, content, and marketplace signals, but public AI-feature maturity appears limited.
2. No clear public AI product matcher, cleaning assistant, or guided advisor is confirmed.
3. Purpose-led content could support future AI features, but the feature layer is not visible.
4. Current scoring is directional from public evidence only.
5. Business value gap: AI features could improve product education, comparison, and category selection.</t>
  </si>
  <si>
    <t>1. Public evidence does not show strong AI-powered personalization for Seventh Generation.
2. Email, social, marketplace, and behavior tools are visible, but personalized recommendations are not confirmed.
3. Personalization depth would require CRM, consent, onsite decisioning, and audience data.
4. Current scoring is directional from outside-in evidence.
5. Business value gap: personalization could connect purpose-led content, products, and offers to shopper intent.</t>
  </si>
  <si>
    <t>1. No mature conversational AI or chatbot experience is confirmed for Seventh Generation in the available evidence.
2. Category, content, and marketplace paths are visible, but chat-led support is not.
3. The category benchmark is generally low for conversational AI maturity.
4. Any service chatbot or guided assistant would need separate validation.
5. Business value gap: conversational support could answer product-choice, ingredient, usage, and retailer/marketplace questions before drop-off.</t>
  </si>
  <si>
    <t>1. Public evidence does not show strong agentic automation readiness for Seventh Generation.
2. No public action catalog, workflow policy, or agent-safe product-selection rules are confirmed.
3. Current journeys remain content, category, social, and marketplace oriented.
4. This is consistent with the broader category benchmark.
5. Business value gap: agentic readiness would matter when shoppers expect automated selection, replenishment, or marketplace handoff.</t>
  </si>
  <si>
    <t>1. Seventh Generation has useful category and product content, but public AI-agent readiness remains early.
2. No public agent instructions, answer boundaries, or action rules are visible.
3. Product facts, category content, and schema can support future readiness, but governance is not visible.
4. Product and category templates need separate validation for agent-ready content.
5. Business value gap: agent-ready content can improve how AI tools explain, compare, and recommend products.</t>
  </si>
  <si>
    <t>1. No public MCP endpoint, agent manifest, llms.txt, OpenAPI, Swagger, or action catalog is confirmed for Seventh Generation in the baseline.
2. The brand relies on content, category discovery, and marketplace handoff rather than owned agent-safe actions.
3. No category action endpoint, permission rules, audit, or recovery controls are visible.
4. This is a category-wide gap across the benchmark set.
5. Business value gap: without an agent-safe transaction surface, AI-driven purchase journeys remain dependent on search, content, and marketplace handoff.</t>
  </si>
  <si>
    <t>1. Seventh Generation has useful purpose-led trust and category/product proof signals.
2. Marketplace, social, and content signals support confidence during discovery.
3. Web security posture is weaker than the strongest technical trust benchmarks.
4. Public reputation and response proof are not complete in the available reports.
5. Business value gap: stronger technical trust and product proof can help maintain confidence before marketplace handoff.</t>
  </si>
  <si>
    <t>1. Seventh Generation has clear purpose-led brand consistency across category and content journeys.
2. Social, email, marketplace, and category signals support a recognizable brand experience.
3. Organic and cited-page scale reinforce brand visibility beyond the owned site.
4. Metadata, accessibility, and script-governance issues still weaken consistency in places.
5. Business value gap: consistent purpose, content, and proof signals help shoppers recognize the brand across search, social, and marketplace paths.</t>
  </si>
  <si>
    <t>1. Seventh Generation reputation signals are moderate in the available baseline.
2. Purpose-led positioning and marketplace/category cues support trust, but saved third-party review scores are limited.
3. Product proof appears stronger than Lysol in selected schema and marketplace comparisons.
4. Public response and feedback-loop evidence is not complete.
5. Business value gap: stronger review and response proof can reduce hesitation when shoppers compare household cleaning brands.</t>
  </si>
  <si>
    <t>Computed — Sub-Dim Scores (auto-calculated from Score Input tabs)</t>
  </si>
  <si>
    <t>Sub-Dim ID</t>
  </si>
  <si>
    <t>Sub-Dimension</t>
  </si>
  <si>
    <t>Parent Dimension</t>
  </si>
  <si>
    <t># Metrics</t>
  </si>
  <si>
    <t>ACQ-1</t>
  </si>
  <si>
    <t>ACQ-2</t>
  </si>
  <si>
    <t>ACQ-3</t>
  </si>
  <si>
    <t>ACQ-4</t>
  </si>
  <si>
    <t>ACQ-5</t>
  </si>
  <si>
    <t>CNV-1</t>
  </si>
  <si>
    <t>CNV-2</t>
  </si>
  <si>
    <t>CNV-3</t>
  </si>
  <si>
    <t>CNV-4</t>
  </si>
  <si>
    <t>ENG-1</t>
  </si>
  <si>
    <t>ENG-2</t>
  </si>
  <si>
    <t>ENG-3</t>
  </si>
  <si>
    <t>INV_R-1</t>
  </si>
  <si>
    <t>INV_R-2</t>
  </si>
  <si>
    <t>INV_R-3</t>
  </si>
  <si>
    <t>INV_R-4</t>
  </si>
  <si>
    <t>INV_R-5</t>
  </si>
  <si>
    <t>📋 PASTE BLOCK BELOW INTO TREND → Trend — Sub-Dim (Long).  Select rows below header, copy, paste-special-as-values.</t>
  </si>
  <si>
    <t>date</t>
  </si>
  <si>
    <t>brand</t>
  </si>
  <si>
    <t>is_client</t>
  </si>
  <si>
    <t>dim</t>
  </si>
  <si>
    <t>sub_dim_id</t>
  </si>
  <si>
    <t>sub_dim</t>
  </si>
  <si>
    <t>score</t>
  </si>
  <si>
    <t>Dimension</t>
  </si>
  <si>
    <t># Sub-Dims</t>
  </si>
  <si>
    <t>📋 PASTE BLOCK BELOW INTO TREND → Trend — Dim (Long).  Select rows below header, copy, paste-special-as-values.</t>
  </si>
  <si>
    <t>Computed — Composites (industry-profile weighted)</t>
  </si>
  <si>
    <t>Active Industry Profile:</t>
  </si>
  <si>
    <t>Brand</t>
  </si>
  <si>
    <t>Composite Score</t>
  </si>
  <si>
    <t>📋 PASTE BLOCK BELOW INTO TREND → Trend — Composite (Long).  Select rows below header, copy, paste-special-as-values.</t>
  </si>
  <si>
    <t>composite</t>
  </si>
  <si>
    <t>industry_profile</t>
  </si>
  <si>
    <t>Computed — Metric Long (auto — for Trend Metric (Long) append)</t>
  </si>
  <si>
    <t>📋 PASTE BLOCK BELOW INTO TREND → Trend — Metric (Long).  Select rows 4 to bottom, copy, paste-special-as-values.</t>
  </si>
  <si>
    <t>pillar</t>
  </si>
  <si>
    <t>metric</t>
  </si>
  <si>
    <t>Snapshot Output — Single-Glance View</t>
  </si>
  <si>
    <t>Snapshot Date:</t>
  </si>
  <si>
    <t>Industry Profile:</t>
  </si>
  <si>
    <t>COMPOSITE LEADERBOARD</t>
  </si>
  <si>
    <t>Order</t>
  </si>
  <si>
    <t>Composite</t>
  </si>
  <si>
    <t>vs Lysol</t>
  </si>
  <si>
    <t>DIMENSION COMPARISON</t>
  </si>
  <si>
    <t>PILLAR SCORES — LYSOL</t>
  </si>
  <si>
    <t>Trend Status</t>
  </si>
  <si>
    <t>Distinct snapshots:</t>
  </si>
  <si>
    <t>Latest snapshot:</t>
  </si>
  <si>
    <t>Total rows:</t>
  </si>
  <si>
    <t>💡 Append-only — never delete past rows.</t>
  </si>
  <si>
    <t>💡 Use Ctrl+Shift+V (paste-special-as-values).</t>
  </si>
  <si>
    <t>Score Summary</t>
  </si>
  <si>
    <t>Take Away</t>
  </si>
  <si>
    <t>Lysol has meaningful organic demand. The main improvement areas are Domain Authority, SEO Performance, GEO/AI Discoverability, Content Authority, Rich Results, and Landing Page Structure. These improvements support stronger search, AI discovery, and category demand capture.</t>
  </si>
  <si>
    <t>Lysol has clear product journeys. The main improvement areas are mobile speed, mobile CLS, JS/CSS, image/media optimization, product proof, accessibility, security, and retailer-handoff measurement. These improvements reduce friction before purchase handoff.</t>
  </si>
  <si>
    <t>Lysol has visible journey paths, but the main improvement areas are lifecycle flow, product proof, personalization, lead capture, support/chat maturity, and account or loyalty visibility. These improvements create more repeat touchpoints and stronger retailer-handoff confidence.</t>
  </si>
  <si>
    <t>Lysol has a modern digital foundation. The main improvement areas are AI features, AI search, agent readiness, Service Worker/PWA maturity, sustainability, and operational footprint. These improvements support future discovery, scale, and platform governance.</t>
  </si>
  <si>
    <t>Unlock Center</t>
  </si>
  <si>
    <t>Tier</t>
  </si>
  <si>
    <t>Access Unlock</t>
  </si>
  <si>
    <t>Dim</t>
  </si>
  <si>
    <t>Sub-Dim</t>
  </si>
  <si>
    <t>Type</t>
  </si>
  <si>
    <t>Tier 1</t>
  </si>
  <si>
    <t>30-Min Stakeholder Discovery Call</t>
  </si>
  <si>
    <t>-</t>
  </si>
  <si>
    <t>Undiscovered</t>
  </si>
  <si>
    <t>Tier 2</t>
  </si>
  <si>
    <t>Analytics &amp; Tracking Access</t>
  </si>
  <si>
    <t>Tier 3</t>
  </si>
  <si>
    <t>CMS / Platform Read-Only</t>
  </si>
  <si>
    <t>Tier 4</t>
  </si>
  <si>
    <t>MarTech &amp; Personalization Stack</t>
  </si>
  <si>
    <t>Tier 5</t>
  </si>
  <si>
    <t>Infrastructure, Security &amp; Code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</si>
</sst>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0.0"/>
    <numFmt numFmtId="166" formatCode="\+0.0;\-0.0;0"/>
  </numFmts>
  <fonts count="15">
    <font>
      <sz val="11"/>
      <color theme="1"/>
      <name val="Calibri"/>
      <family val="2"/>
      <scheme val="minor"/>
    </font>
    <font>
      <b/>
      <sz val="14"/>
      <color rgb="FFFFFFFF"/>
      <name val="Arial"/>
      <family val="2"/>
    </font>
    <font>
      <i/>
      <sz val="10"/>
      <color rgb="FF1E3FE3"/>
      <name val="Arial"/>
      <family val="2"/>
    </font>
    <font>
      <sz val="10"/>
      <color rgb="FF333333"/>
      <name val="Arial"/>
      <family val="2"/>
    </font>
    <font>
      <b/>
      <sz val="11"/>
      <color rgb="FF021333"/>
      <name val="Arial"/>
      <family val="2"/>
    </font>
    <font>
      <b/>
      <sz val="10"/>
      <color rgb="FF021333"/>
      <name val="Arial"/>
      <family val="2"/>
    </font>
    <font>
      <b/>
      <sz val="11"/>
      <color rgb="FFFFFFFF"/>
      <name val="Arial"/>
      <family val="2"/>
    </font>
    <font>
      <i/>
      <sz val="10"/>
      <color rgb="FF8A8A8A"/>
      <name val="Arial"/>
      <family val="2"/>
    </font>
    <font>
      <b/>
      <sz val="12"/>
      <color rgb="FF021333"/>
      <name val="Arial"/>
      <family val="2"/>
    </font>
    <font>
      <sz val="11"/>
      <color rgb="FF202020"/>
      <name val="Calibri"/>
      <family val="2"/>
    </font>
    <font>
      <i/>
      <sz val="11"/>
      <color rgb="FF8F8F8F"/>
      <name val="Calibri"/>
      <family val="2"/>
    </font>
    <font>
      <b/>
      <sz val="14"/>
      <color rgb="FFFFFFFF"/>
      <name val="Calibri"/>
      <family val="2"/>
    </font>
    <font>
      <b/>
      <sz val="11"/>
      <color rgb="FFFFFFFF"/>
      <name val="Calibri"/>
      <family val="2"/>
    </font>
    <font>
      <b/>
      <sz val="11"/>
      <color rgb="FF1F1F1F"/>
      <name val="Calibri"/>
      <family val="2"/>
    </font>
    <font>
      <sz val="10"/>
      <color theme="1" tint="0.14999847407452621"/>
      <name val="Arial"/>
      <family val="2"/>
    </font>
  </fonts>
  <fills count="21">
    <fill>
      <patternFill patternType="none"/>
    </fill>
    <fill>
      <patternFill patternType="gray125"/>
    </fill>
    <fill>
      <patternFill patternType="solid">
        <fgColor rgb="FF021333"/>
        <bgColor rgb="FF021333"/>
      </patternFill>
    </fill>
    <fill>
      <patternFill patternType="solid">
        <fgColor rgb="FFEAF0FF"/>
        <bgColor rgb="FFEAF0FF"/>
      </patternFill>
    </fill>
    <fill>
      <patternFill patternType="solid">
        <fgColor rgb="FFFFD966"/>
        <bgColor rgb="FFFFD966"/>
      </patternFill>
    </fill>
    <fill>
      <patternFill patternType="solid">
        <fgColor rgb="FFE85D5D"/>
        <bgColor rgb="FFE85D5D"/>
      </patternFill>
    </fill>
    <fill>
      <patternFill patternType="solid">
        <fgColor rgb="FF1F2A44"/>
        <bgColor rgb="FF1F2A44"/>
      </patternFill>
    </fill>
    <fill>
      <patternFill patternType="solid">
        <fgColor rgb="FFFFF8DC"/>
        <bgColor rgb="FFFFF8DC"/>
      </patternFill>
    </fill>
    <fill>
      <patternFill patternType="solid">
        <fgColor rgb="FF1E3FE3"/>
        <bgColor rgb="FF1E3FE3"/>
      </patternFill>
    </fill>
    <fill>
      <patternFill patternType="solid">
        <fgColor rgb="FFF5F5F5"/>
        <bgColor rgb="FFF5F5F5"/>
      </patternFill>
    </fill>
    <fill>
      <patternFill patternType="solid">
        <fgColor rgb="FF7030A0"/>
        <bgColor rgb="FF1F2A44"/>
      </patternFill>
    </fill>
    <fill>
      <patternFill patternType="solid">
        <fgColor theme="9" tint="0.79998168889431442"/>
        <bgColor indexed="64"/>
      </patternFill>
    </fill>
    <fill>
      <patternFill patternType="solid">
        <fgColor rgb="FF071832"/>
      </patternFill>
    </fill>
    <fill>
      <patternFill patternType="solid">
        <fgColor rgb="FF7030A0"/>
      </patternFill>
    </fill>
    <fill>
      <patternFill patternType="solid">
        <fgColor rgb="FFD9E59A"/>
      </patternFill>
    </fill>
    <fill>
      <patternFill patternType="solid">
        <fgColor rgb="FFB9D994"/>
      </patternFill>
    </fill>
    <fill>
      <patternFill patternType="solid">
        <fgColor rgb="FFF7E3A1"/>
      </patternFill>
    </fill>
    <fill>
      <patternFill patternType="solid">
        <fgColor rgb="FFF2F2F2"/>
      </patternFill>
    </fill>
    <fill>
      <patternFill patternType="solid">
        <fgColor rgb="FFF4B183"/>
      </patternFill>
    </fill>
    <fill>
      <patternFill patternType="solid">
        <fgColor theme="0" tint="-4.9989318521683403E-2"/>
        <bgColor indexed="64"/>
      </patternFill>
    </fill>
    <fill>
      <patternFill patternType="solid">
        <fgColor theme="0"/>
        <b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6">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3" borderId="0" xfId="0" applyFont="1" applyFill="1" applyAlignment="1">
      <alignment horizontal="left" vertical="top" wrapText="1"/>
    </xf>
    <xf numFmtId="0" fontId="4" fillId="4" borderId="0" xfId="0" applyFont="1" applyFill="1" applyAlignment="1">
      <alignment horizontal="left" vertical="top" wrapText="1"/>
    </xf>
    <xf numFmtId="0" fontId="5" fillId="0" borderId="0" xfId="0" applyFont="1" applyAlignment="1">
      <alignment horizontal="left" vertical="top" wrapText="1"/>
    </xf>
    <xf numFmtId="0" fontId="4" fillId="5" borderId="0" xfId="0" applyFont="1" applyFill="1" applyAlignment="1">
      <alignment horizontal="left" vertical="top" wrapText="1"/>
    </xf>
    <xf numFmtId="0" fontId="1" fillId="5" borderId="0" xfId="0" applyFont="1" applyFill="1" applyAlignment="1">
      <alignment horizontal="left" vertical="top" wrapText="1"/>
    </xf>
    <xf numFmtId="0" fontId="6" fillId="6" borderId="0" xfId="0" applyFont="1" applyFill="1"/>
    <xf numFmtId="0" fontId="5" fillId="0" borderId="0" xfId="0" applyFont="1"/>
    <xf numFmtId="164" fontId="3" fillId="7" borderId="0" xfId="0" applyNumberFormat="1" applyFont="1" applyFill="1"/>
    <xf numFmtId="0" fontId="7" fillId="0" borderId="0" xfId="0" applyFont="1" applyAlignment="1">
      <alignment horizontal="left" vertical="top" wrapText="1"/>
    </xf>
    <xf numFmtId="0" fontId="3" fillId="7" borderId="0" xfId="0" applyFont="1" applyFill="1"/>
    <xf numFmtId="0" fontId="6" fillId="8" borderId="0" xfId="0" applyFont="1" applyFill="1"/>
    <xf numFmtId="2" fontId="3" fillId="0" borderId="0" xfId="0" applyNumberFormat="1" applyFont="1"/>
    <xf numFmtId="2" fontId="3" fillId="0" borderId="0" xfId="0" applyNumberFormat="1" applyFont="1" applyAlignment="1">
      <alignment horizontal="left" vertical="top" wrapText="1"/>
    </xf>
    <xf numFmtId="0" fontId="3" fillId="9" borderId="0" xfId="0" applyFont="1" applyFill="1" applyAlignment="1">
      <alignment horizontal="left" vertical="top" wrapText="1"/>
    </xf>
    <xf numFmtId="0" fontId="7" fillId="9" borderId="0" xfId="0" applyFont="1" applyFill="1" applyAlignment="1">
      <alignment horizontal="left" vertical="top" wrapText="1"/>
    </xf>
    <xf numFmtId="2" fontId="3" fillId="9" borderId="0" xfId="0" applyNumberFormat="1" applyFont="1" applyFill="1" applyAlignment="1">
      <alignment horizontal="left" vertical="top" wrapText="1"/>
    </xf>
    <xf numFmtId="0" fontId="7" fillId="0" borderId="0" xfId="0" applyFont="1"/>
    <xf numFmtId="0" fontId="6" fillId="2" borderId="0" xfId="0" applyFont="1" applyFill="1"/>
    <xf numFmtId="0" fontId="3" fillId="3" borderId="0" xfId="0" applyFont="1" applyFill="1"/>
    <xf numFmtId="0" fontId="3" fillId="0" borderId="0" xfId="0" applyFont="1" applyAlignment="1">
      <alignment horizontal="center" vertical="center"/>
    </xf>
    <xf numFmtId="9" fontId="3" fillId="3" borderId="0" xfId="0" applyNumberFormat="1" applyFont="1" applyFill="1"/>
    <xf numFmtId="0" fontId="5" fillId="0" borderId="0" xfId="0" applyFont="1" applyAlignment="1">
      <alignment horizontal="center" vertical="center"/>
    </xf>
    <xf numFmtId="0" fontId="3" fillId="0" borderId="0" xfId="0" applyFont="1"/>
    <xf numFmtId="2" fontId="3" fillId="3" borderId="0" xfId="0" applyNumberFormat="1" applyFont="1" applyFill="1" applyAlignment="1">
      <alignment horizontal="center" vertical="center"/>
    </xf>
    <xf numFmtId="164" fontId="3" fillId="0" borderId="0" xfId="0" applyNumberFormat="1" applyFont="1"/>
    <xf numFmtId="0" fontId="5" fillId="3" borderId="0" xfId="0" applyFont="1" applyFill="1"/>
    <xf numFmtId="165" fontId="5" fillId="3" borderId="0" xfId="0" applyNumberFormat="1" applyFont="1" applyFill="1" applyAlignment="1">
      <alignment horizontal="center" vertical="center"/>
    </xf>
    <xf numFmtId="164" fontId="0" fillId="0" borderId="0" xfId="0" applyNumberFormat="1"/>
    <xf numFmtId="165" fontId="3" fillId="0" borderId="0" xfId="0" applyNumberFormat="1" applyFont="1" applyAlignment="1">
      <alignment horizontal="center" vertical="center"/>
    </xf>
    <xf numFmtId="166" fontId="7" fillId="0" borderId="0" xfId="0" applyNumberFormat="1" applyFont="1" applyAlignment="1">
      <alignment horizontal="center" vertical="center"/>
    </xf>
    <xf numFmtId="166" fontId="3" fillId="0" borderId="0" xfId="0" applyNumberFormat="1" applyFont="1" applyAlignment="1">
      <alignment horizontal="center" vertical="center"/>
    </xf>
    <xf numFmtId="165" fontId="3" fillId="3" borderId="0" xfId="0" applyNumberFormat="1" applyFont="1" applyFill="1" applyAlignment="1">
      <alignment horizontal="center" vertical="center"/>
    </xf>
    <xf numFmtId="164" fontId="3" fillId="3" borderId="0" xfId="0" applyNumberFormat="1" applyFont="1" applyFill="1"/>
    <xf numFmtId="0" fontId="2" fillId="0" borderId="0" xfId="0" applyFont="1"/>
    <xf numFmtId="0" fontId="6" fillId="10" borderId="0" xfId="0" applyFont="1" applyFill="1"/>
    <xf numFmtId="0" fontId="8" fillId="4" borderId="0" xfId="0" applyFont="1" applyFill="1"/>
    <xf numFmtId="0" fontId="6" fillId="10" borderId="0" xfId="0" applyFont="1" applyFill="1" applyAlignment="1">
      <alignment horizontal="center" vertical="top"/>
    </xf>
    <xf numFmtId="0" fontId="0" fillId="0" borderId="0" xfId="0" applyAlignment="1">
      <alignment horizontal="center" vertical="top"/>
    </xf>
    <xf numFmtId="0" fontId="0" fillId="0" borderId="0" xfId="0" applyAlignment="1">
      <alignment vertical="top" wrapText="1"/>
    </xf>
    <xf numFmtId="0" fontId="0" fillId="0" borderId="1" xfId="0" applyBorder="1" applyAlignment="1">
      <alignment vertical="top" wrapText="1"/>
    </xf>
    <xf numFmtId="0" fontId="9" fillId="0" borderId="0" xfId="0" applyFont="1" applyAlignment="1">
      <alignment horizontal="center" vertical="center"/>
    </xf>
    <xf numFmtId="0" fontId="9" fillId="0" borderId="0" xfId="0" applyFont="1" applyAlignment="1">
      <alignment horizontal="left" vertical="top" wrapText="1"/>
    </xf>
    <xf numFmtId="0" fontId="9" fillId="0" borderId="0" xfId="0" applyFont="1" applyAlignment="1">
      <alignment vertical="top" wrapText="1"/>
    </xf>
    <xf numFmtId="0" fontId="12" fillId="13" borderId="1" xfId="0" applyFont="1" applyFill="1" applyBorder="1" applyAlignment="1">
      <alignment vertical="center" wrapText="1"/>
    </xf>
    <xf numFmtId="0" fontId="13" fillId="0" borderId="1" xfId="0" applyFont="1" applyBorder="1" applyAlignment="1">
      <alignment vertical="top" wrapText="1"/>
    </xf>
    <xf numFmtId="165" fontId="0" fillId="0" borderId="1" xfId="0" applyNumberFormat="1" applyBorder="1" applyAlignment="1">
      <alignment horizontal="right" vertical="top"/>
    </xf>
    <xf numFmtId="0" fontId="3" fillId="0" borderId="0" xfId="0" applyFont="1" applyAlignment="1">
      <alignment vertical="top" wrapText="1"/>
    </xf>
    <xf numFmtId="0" fontId="3" fillId="9" borderId="0" xfId="0" applyFont="1" applyFill="1" applyAlignment="1">
      <alignment vertical="top" wrapText="1"/>
    </xf>
    <xf numFmtId="0" fontId="9" fillId="11" borderId="0" xfId="0" applyFont="1" applyFill="1" applyAlignment="1">
      <alignment vertical="top" wrapText="1"/>
    </xf>
    <xf numFmtId="0" fontId="10" fillId="17" borderId="0" xfId="0" applyFont="1" applyFill="1" applyAlignment="1">
      <alignment horizontal="left" vertical="top" wrapText="1"/>
    </xf>
    <xf numFmtId="0" fontId="3" fillId="19" borderId="0" xfId="0" applyFont="1" applyFill="1" applyAlignment="1">
      <alignment horizontal="left" vertical="top" wrapText="1"/>
    </xf>
    <xf numFmtId="2" fontId="3" fillId="19" borderId="0" xfId="0" applyNumberFormat="1" applyFont="1" applyFill="1" applyAlignment="1">
      <alignment horizontal="left" vertical="top" wrapText="1"/>
    </xf>
    <xf numFmtId="0" fontId="3" fillId="20" borderId="0" xfId="0" applyFont="1" applyFill="1" applyAlignment="1">
      <alignment horizontal="left" vertical="top" wrapText="1"/>
    </xf>
    <xf numFmtId="2" fontId="3" fillId="20" borderId="0" xfId="0" applyNumberFormat="1" applyFont="1" applyFill="1" applyAlignment="1">
      <alignment horizontal="left" vertical="top" wrapText="1"/>
    </xf>
    <xf numFmtId="0" fontId="14" fillId="20" borderId="0" xfId="0" applyFont="1" applyFill="1" applyAlignment="1">
      <alignment horizontal="left" vertical="top" wrapText="1"/>
    </xf>
    <xf numFmtId="2" fontId="0" fillId="0" borderId="0" xfId="0" applyNumberFormat="1"/>
    <xf numFmtId="2" fontId="9" fillId="0" borderId="0" xfId="0" applyNumberFormat="1" applyFont="1" applyAlignment="1">
      <alignment horizontal="left" vertical="top" wrapText="1"/>
    </xf>
    <xf numFmtId="0" fontId="9" fillId="16" borderId="0" xfId="0" applyFont="1" applyFill="1" applyAlignment="1">
      <alignment horizontal="center" vertical="top" wrapText="1"/>
    </xf>
    <xf numFmtId="0" fontId="9" fillId="18" borderId="0" xfId="0" applyFont="1" applyFill="1" applyAlignment="1">
      <alignment horizontal="center" vertical="top" wrapText="1"/>
    </xf>
    <xf numFmtId="0" fontId="9" fillId="15" borderId="0" xfId="0" applyFont="1" applyFill="1" applyAlignment="1">
      <alignment horizontal="center" vertical="top" wrapText="1"/>
    </xf>
    <xf numFmtId="0" fontId="9" fillId="14" borderId="0" xfId="0" applyFont="1" applyFill="1" applyAlignment="1">
      <alignment horizontal="center" vertical="top" wrapText="1"/>
    </xf>
    <xf numFmtId="2" fontId="10" fillId="17" borderId="0" xfId="0" applyNumberFormat="1" applyFont="1" applyFill="1" applyAlignment="1">
      <alignment horizontal="left" vertical="top" wrapText="1"/>
    </xf>
    <xf numFmtId="0" fontId="10" fillId="17" borderId="0" xfId="0" applyFont="1" applyFill="1" applyAlignment="1">
      <alignment horizontal="center" vertical="top" wrapText="1"/>
    </xf>
    <xf numFmtId="0" fontId="10" fillId="17" borderId="0" xfId="0" applyFont="1" applyFill="1" applyAlignment="1">
      <alignment vertical="top" wrapText="1"/>
    </xf>
    <xf numFmtId="1" fontId="9" fillId="16" borderId="0" xfId="0" applyNumberFormat="1" applyFont="1" applyFill="1" applyAlignment="1">
      <alignment horizontal="center" vertical="top"/>
    </xf>
    <xf numFmtId="1" fontId="9" fillId="18" borderId="0" xfId="0" applyNumberFormat="1" applyFont="1" applyFill="1" applyAlignment="1">
      <alignment horizontal="center" vertical="top"/>
    </xf>
    <xf numFmtId="1" fontId="9" fillId="15" borderId="0" xfId="0" applyNumberFormat="1" applyFont="1" applyFill="1" applyAlignment="1">
      <alignment horizontal="center" vertical="top"/>
    </xf>
    <xf numFmtId="1" fontId="9" fillId="14" borderId="0" xfId="0" applyNumberFormat="1" applyFont="1" applyFill="1" applyAlignment="1">
      <alignment horizontal="center" vertical="top"/>
    </xf>
    <xf numFmtId="0" fontId="10" fillId="17" borderId="0" xfId="0" applyFont="1" applyFill="1" applyAlignment="1">
      <alignment horizontal="center" vertical="center"/>
    </xf>
    <xf numFmtId="1" fontId="10" fillId="17" borderId="0" xfId="0" applyNumberFormat="1" applyFont="1" applyFill="1" applyAlignment="1">
      <alignment horizontal="center" vertical="center"/>
    </xf>
    <xf numFmtId="1" fontId="9" fillId="15" borderId="0" xfId="0" applyNumberFormat="1" applyFont="1" applyFill="1" applyAlignment="1">
      <alignment horizontal="center" vertical="center"/>
    </xf>
    <xf numFmtId="1" fontId="9" fillId="16" borderId="0" xfId="0" applyNumberFormat="1" applyFont="1" applyFill="1" applyAlignment="1">
      <alignment horizontal="center" vertical="center"/>
    </xf>
    <xf numFmtId="1" fontId="9" fillId="14" borderId="0" xfId="0" applyNumberFormat="1" applyFont="1" applyFill="1" applyAlignment="1">
      <alignment horizontal="center" vertical="center"/>
    </xf>
    <xf numFmtId="1" fontId="9" fillId="18" borderId="0" xfId="0" applyNumberFormat="1" applyFont="1" applyFill="1" applyAlignment="1">
      <alignment horizontal="center" vertical="center"/>
    </xf>
    <xf numFmtId="0" fontId="11" fillId="12" borderId="0" xfId="0" applyFont="1" applyFill="1" applyAlignment="1">
      <alignment vertical="center"/>
    </xf>
    <xf numFmtId="0" fontId="0" fillId="0" borderId="0" xfId="0" applyAlignment="1">
      <alignment horizontal="center" vertical="top"/>
    </xf>
    <xf numFmtId="0" fontId="1" fillId="2" borderId="0" xfId="0" applyFont="1" applyFill="1" applyAlignment="1"/>
    <xf numFmtId="0" fontId="0" fillId="0" borderId="0" xfId="0" applyAlignment="1"/>
    <xf numFmtId="0" fontId="4" fillId="3" borderId="0" xfId="0" applyFont="1" applyFill="1" applyAlignment="1"/>
    <xf numFmtId="0" fontId="8" fillId="4" borderId="0" xfId="0" applyFont="1" applyFill="1" applyAlignment="1"/>
    <xf numFmtId="164" fontId="3" fillId="0" borderId="0" xfId="0" applyNumberFormat="1" applyFont="1" applyAlignment="1"/>
    <xf numFmtId="0" fontId="6" fillId="2"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3"/>
  <sheetViews>
    <sheetView topLeftCell="A2" workbookViewId="0"/>
  </sheetViews>
  <sheetFormatPr defaultColWidth="8.85546875" defaultRowHeight="15"/>
  <cols>
    <col min="1" max="1" width="130" customWidth="1"/>
  </cols>
  <sheetData>
    <row r="1" spans="1:1" ht="32.1" customHeight="1">
      <c r="A1" s="1" t="s">
        <v>0</v>
      </c>
    </row>
    <row r="2" spans="1:1" ht="20.100000000000001" customHeight="1">
      <c r="A2" s="2" t="s">
        <v>1</v>
      </c>
    </row>
    <row r="4" spans="1:1" ht="24" customHeight="1">
      <c r="A4" s="1" t="s">
        <v>2</v>
      </c>
    </row>
    <row r="5" spans="1:1" ht="72" customHeight="1">
      <c r="A5" s="3" t="s">
        <v>3</v>
      </c>
    </row>
    <row r="7" spans="1:1" ht="57.95" customHeight="1">
      <c r="A7" s="2" t="s">
        <v>4</v>
      </c>
    </row>
    <row r="9" spans="1:1" ht="24" customHeight="1">
      <c r="A9" s="1" t="s">
        <v>5</v>
      </c>
    </row>
    <row r="10" spans="1:1">
      <c r="A10" s="3" t="s">
        <v>6</v>
      </c>
    </row>
    <row r="12" spans="1:1">
      <c r="A12" s="4" t="s">
        <v>7</v>
      </c>
    </row>
    <row r="13" spans="1:1">
      <c r="A13" s="3" t="s">
        <v>8</v>
      </c>
    </row>
    <row r="14" spans="1:1">
      <c r="A14" s="3" t="s">
        <v>9</v>
      </c>
    </row>
    <row r="15" spans="1:1">
      <c r="A15" s="3" t="s">
        <v>10</v>
      </c>
    </row>
    <row r="17" spans="1:1">
      <c r="A17" s="4" t="s">
        <v>11</v>
      </c>
    </row>
    <row r="18" spans="1:1">
      <c r="A18" s="3" t="s">
        <v>12</v>
      </c>
    </row>
    <row r="19" spans="1:1" ht="44.1" customHeight="1">
      <c r="A19" s="3" t="s">
        <v>13</v>
      </c>
    </row>
    <row r="21" spans="1:1">
      <c r="A21" s="4" t="s">
        <v>14</v>
      </c>
    </row>
    <row r="22" spans="1:1">
      <c r="A22" s="3" t="s">
        <v>15</v>
      </c>
    </row>
    <row r="23" spans="1:1">
      <c r="A23" s="3" t="s">
        <v>16</v>
      </c>
    </row>
    <row r="24" spans="1:1">
      <c r="A24" s="3" t="s">
        <v>17</v>
      </c>
    </row>
    <row r="25" spans="1:1" ht="32.1" customHeight="1">
      <c r="A25" s="3" t="s">
        <v>18</v>
      </c>
    </row>
    <row r="26" spans="1:1">
      <c r="A26" s="3" t="s">
        <v>19</v>
      </c>
    </row>
    <row r="28" spans="1:1">
      <c r="A28" s="4" t="s">
        <v>20</v>
      </c>
    </row>
    <row r="29" spans="1:1">
      <c r="A29" s="3" t="s">
        <v>21</v>
      </c>
    </row>
    <row r="30" spans="1:1">
      <c r="A30" s="3" t="s">
        <v>22</v>
      </c>
    </row>
    <row r="31" spans="1:1">
      <c r="A31" s="3" t="s">
        <v>23</v>
      </c>
    </row>
    <row r="32" spans="1:1">
      <c r="A32" s="3" t="s">
        <v>24</v>
      </c>
    </row>
    <row r="35" spans="1:1" ht="24" customHeight="1">
      <c r="A35" s="1" t="s">
        <v>25</v>
      </c>
    </row>
    <row r="37" spans="1:1">
      <c r="A37" s="5" t="s">
        <v>26</v>
      </c>
    </row>
    <row r="38" spans="1:1">
      <c r="A38" s="3" t="s">
        <v>27</v>
      </c>
    </row>
    <row r="39" spans="1:1" ht="32.1" customHeight="1">
      <c r="A39" s="3" t="s">
        <v>28</v>
      </c>
    </row>
    <row r="40" spans="1:1" ht="32.1" customHeight="1">
      <c r="A40" s="3" t="s">
        <v>29</v>
      </c>
    </row>
    <row r="42" spans="1:1">
      <c r="A42" s="5" t="s">
        <v>30</v>
      </c>
    </row>
    <row r="43" spans="1:1">
      <c r="A43" s="3" t="s">
        <v>31</v>
      </c>
    </row>
    <row r="44" spans="1:1" ht="32.1" customHeight="1">
      <c r="A44" s="3" t="s">
        <v>32</v>
      </c>
    </row>
    <row r="45" spans="1:1" ht="32.1" customHeight="1">
      <c r="A45" s="3" t="s">
        <v>33</v>
      </c>
    </row>
    <row r="46" spans="1:1">
      <c r="A46" s="3" t="s">
        <v>34</v>
      </c>
    </row>
    <row r="47" spans="1:1" ht="44.1" customHeight="1">
      <c r="A47" s="3" t="s">
        <v>35</v>
      </c>
    </row>
    <row r="48" spans="1:1">
      <c r="A48" s="3" t="s">
        <v>36</v>
      </c>
    </row>
    <row r="49" spans="1:1">
      <c r="A49" s="3" t="s">
        <v>37</v>
      </c>
    </row>
    <row r="51" spans="1:1">
      <c r="A51" s="5" t="s">
        <v>38</v>
      </c>
    </row>
    <row r="52" spans="1:1" ht="44.1" customHeight="1">
      <c r="A52" s="3" t="s">
        <v>39</v>
      </c>
    </row>
    <row r="53" spans="1:1">
      <c r="A53" s="3" t="s">
        <v>40</v>
      </c>
    </row>
    <row r="54" spans="1:1" ht="32.1" customHeight="1">
      <c r="A54" s="3" t="s">
        <v>41</v>
      </c>
    </row>
    <row r="55" spans="1:1" ht="32.1" customHeight="1">
      <c r="A55" s="3" t="s">
        <v>42</v>
      </c>
    </row>
    <row r="56" spans="1:1" ht="32.1" customHeight="1">
      <c r="A56" s="3" t="s">
        <v>43</v>
      </c>
    </row>
    <row r="57" spans="1:1" ht="44.1" customHeight="1">
      <c r="A57" s="3" t="s">
        <v>44</v>
      </c>
    </row>
    <row r="59" spans="1:1">
      <c r="A59" s="5" t="s">
        <v>45</v>
      </c>
    </row>
    <row r="60" spans="1:1" ht="44.1" customHeight="1">
      <c r="A60" s="3" t="s">
        <v>46</v>
      </c>
    </row>
    <row r="61" spans="1:1" ht="57.95" customHeight="1">
      <c r="A61" s="3" t="s">
        <v>47</v>
      </c>
    </row>
    <row r="62" spans="1:1" ht="32.1" customHeight="1">
      <c r="A62" s="3" t="s">
        <v>48</v>
      </c>
    </row>
    <row r="64" spans="1:1">
      <c r="A64" s="5" t="s">
        <v>49</v>
      </c>
    </row>
    <row r="65" spans="1:1">
      <c r="A65" s="3" t="s">
        <v>50</v>
      </c>
    </row>
    <row r="66" spans="1:1" ht="32.1" customHeight="1">
      <c r="A66" s="3" t="s">
        <v>51</v>
      </c>
    </row>
    <row r="67" spans="1:1">
      <c r="A67" s="3" t="s">
        <v>52</v>
      </c>
    </row>
    <row r="68" spans="1:1">
      <c r="A68" s="3" t="s">
        <v>53</v>
      </c>
    </row>
    <row r="69" spans="1:1" ht="32.1" customHeight="1">
      <c r="A69" s="3" t="s">
        <v>54</v>
      </c>
    </row>
    <row r="71" spans="1:1">
      <c r="A71" s="6" t="s">
        <v>55</v>
      </c>
    </row>
    <row r="72" spans="1:1" ht="44.1" customHeight="1">
      <c r="A72" s="3" t="s">
        <v>56</v>
      </c>
    </row>
    <row r="73" spans="1:1" ht="32.1" customHeight="1">
      <c r="A73" s="3" t="s">
        <v>57</v>
      </c>
    </row>
    <row r="74" spans="1:1" ht="32.1" customHeight="1">
      <c r="A74" s="3" t="s">
        <v>58</v>
      </c>
    </row>
    <row r="76" spans="1:1">
      <c r="A76" s="5" t="s">
        <v>59</v>
      </c>
    </row>
    <row r="77" spans="1:1" ht="32.1" customHeight="1">
      <c r="A77" s="3" t="s">
        <v>60</v>
      </c>
    </row>
    <row r="79" spans="1:1">
      <c r="A79" s="6" t="s">
        <v>61</v>
      </c>
    </row>
    <row r="80" spans="1:1" ht="32.1" customHeight="1">
      <c r="A80" s="3" t="s">
        <v>62</v>
      </c>
    </row>
    <row r="81" spans="1:1">
      <c r="A81" s="3" t="s">
        <v>63</v>
      </c>
    </row>
    <row r="82" spans="1:1" ht="32.1" customHeight="1">
      <c r="A82" s="3" t="s">
        <v>64</v>
      </c>
    </row>
    <row r="83" spans="1:1">
      <c r="A83" s="3" t="s">
        <v>65</v>
      </c>
    </row>
    <row r="84" spans="1:1">
      <c r="A84" s="3" t="s">
        <v>66</v>
      </c>
    </row>
    <row r="85" spans="1:1" ht="32.1" customHeight="1">
      <c r="A85" s="3" t="s">
        <v>67</v>
      </c>
    </row>
    <row r="86" spans="1:1" ht="57.95" customHeight="1">
      <c r="A86" s="3" t="s">
        <v>68</v>
      </c>
    </row>
    <row r="87" spans="1:1" ht="57.95" customHeight="1">
      <c r="A87" s="3" t="s">
        <v>69</v>
      </c>
    </row>
    <row r="89" spans="1:1">
      <c r="A89" s="6" t="s">
        <v>70</v>
      </c>
    </row>
    <row r="90" spans="1:1" ht="32.1" customHeight="1">
      <c r="A90" s="3" t="s">
        <v>71</v>
      </c>
    </row>
    <row r="91" spans="1:1" ht="32.1" customHeight="1">
      <c r="A91" s="3" t="s">
        <v>72</v>
      </c>
    </row>
    <row r="92" spans="1:1" ht="32.1" customHeight="1">
      <c r="A92" s="3" t="s">
        <v>73</v>
      </c>
    </row>
    <row r="93" spans="1:1" ht="32.1" customHeight="1">
      <c r="A93" s="3" t="s">
        <v>74</v>
      </c>
    </row>
    <row r="95" spans="1:1" ht="99.95" customHeight="1">
      <c r="A95" s="2" t="s">
        <v>75</v>
      </c>
    </row>
    <row r="97" spans="1:1">
      <c r="A97" s="5" t="s">
        <v>76</v>
      </c>
    </row>
    <row r="98" spans="1:1">
      <c r="A98" s="3" t="s">
        <v>77</v>
      </c>
    </row>
    <row r="99" spans="1:1">
      <c r="A99" s="3" t="s">
        <v>78</v>
      </c>
    </row>
    <row r="100" spans="1:1">
      <c r="A100" s="3" t="s">
        <v>79</v>
      </c>
    </row>
    <row r="101" spans="1:1">
      <c r="A101" s="3" t="s">
        <v>80</v>
      </c>
    </row>
    <row r="104" spans="1:1" ht="24" customHeight="1">
      <c r="A104" s="1" t="s">
        <v>81</v>
      </c>
    </row>
    <row r="106" spans="1:1">
      <c r="A106" s="4" t="s">
        <v>82</v>
      </c>
    </row>
    <row r="107" spans="1:1" ht="72" customHeight="1">
      <c r="A107" s="3" t="s">
        <v>83</v>
      </c>
    </row>
    <row r="109" spans="1:1">
      <c r="A109" s="4" t="s">
        <v>84</v>
      </c>
    </row>
    <row r="110" spans="1:1" ht="57.95" customHeight="1">
      <c r="A110" s="3" t="s">
        <v>85</v>
      </c>
    </row>
    <row r="112" spans="1:1">
      <c r="A112" s="4" t="s">
        <v>86</v>
      </c>
    </row>
    <row r="113" spans="1:1" ht="57.95" customHeight="1">
      <c r="A113" s="3" t="s">
        <v>87</v>
      </c>
    </row>
    <row r="115" spans="1:1">
      <c r="A115" s="4" t="s">
        <v>88</v>
      </c>
    </row>
    <row r="116" spans="1:1" ht="86.1" customHeight="1">
      <c r="A116" s="3" t="s">
        <v>89</v>
      </c>
    </row>
    <row r="118" spans="1:1">
      <c r="A118" s="4" t="s">
        <v>90</v>
      </c>
    </row>
    <row r="119" spans="1:1" ht="72" customHeight="1">
      <c r="A119" s="3" t="s">
        <v>91</v>
      </c>
    </row>
    <row r="121" spans="1:1">
      <c r="A121" s="4" t="s">
        <v>92</v>
      </c>
    </row>
    <row r="122" spans="1:1" ht="86.1" customHeight="1">
      <c r="A122" s="3" t="s">
        <v>93</v>
      </c>
    </row>
    <row r="124" spans="1:1">
      <c r="A124" s="4" t="s">
        <v>94</v>
      </c>
    </row>
    <row r="125" spans="1:1" ht="72" customHeight="1">
      <c r="A125" s="3" t="s">
        <v>95</v>
      </c>
    </row>
    <row r="127" spans="1:1" ht="21.95" customHeight="1">
      <c r="A127" s="4" t="s">
        <v>96</v>
      </c>
    </row>
    <row r="128" spans="1:1" ht="99.95" customHeight="1">
      <c r="A128" s="3" t="s">
        <v>97</v>
      </c>
    </row>
    <row r="129" spans="1:1" ht="72" customHeight="1">
      <c r="A129" s="3" t="s">
        <v>98</v>
      </c>
    </row>
    <row r="130" spans="1:1" ht="21.95" customHeight="1">
      <c r="A130" s="6" t="s">
        <v>99</v>
      </c>
    </row>
    <row r="131" spans="1:1" ht="110.1" customHeight="1">
      <c r="A131" s="3" t="s">
        <v>100</v>
      </c>
    </row>
    <row r="133" spans="1:1" ht="18.95" customHeight="1">
      <c r="A133" s="1" t="s">
        <v>101</v>
      </c>
    </row>
    <row r="135" spans="1:1">
      <c r="A135" s="7" t="s">
        <v>102</v>
      </c>
    </row>
    <row r="136" spans="1:1">
      <c r="A136" s="3" t="s">
        <v>103</v>
      </c>
    </row>
    <row r="138" spans="1:1">
      <c r="A138" s="7" t="s">
        <v>104</v>
      </c>
    </row>
    <row r="139" spans="1:1" ht="110.1" customHeight="1">
      <c r="A139" s="3" t="s">
        <v>105</v>
      </c>
    </row>
    <row r="140" spans="1:1">
      <c r="A140" s="3" t="s">
        <v>106</v>
      </c>
    </row>
    <row r="141" spans="1:1">
      <c r="A141" s="3" t="s">
        <v>107</v>
      </c>
    </row>
    <row r="142" spans="1:1" ht="72" customHeight="1"/>
    <row r="143" spans="1:1">
      <c r="A143" s="7" t="s">
        <v>108</v>
      </c>
    </row>
    <row r="144" spans="1:1" ht="27.95" customHeight="1">
      <c r="A144" s="3" t="s">
        <v>109</v>
      </c>
    </row>
    <row r="145" spans="1:1" ht="57.95" customHeight="1"/>
    <row r="146" spans="1:1">
      <c r="A146" s="7" t="s">
        <v>110</v>
      </c>
    </row>
    <row r="147" spans="1:1">
      <c r="A147" s="3" t="s">
        <v>111</v>
      </c>
    </row>
    <row r="148" spans="1:1" ht="44.1" customHeight="1"/>
    <row r="149" spans="1:1">
      <c r="A149" s="7" t="s">
        <v>112</v>
      </c>
    </row>
    <row r="150" spans="1:1">
      <c r="A150" s="3" t="s">
        <v>113</v>
      </c>
    </row>
    <row r="151" spans="1:1" ht="24" customHeight="1"/>
    <row r="152" spans="1:1">
      <c r="A152" s="7" t="s">
        <v>114</v>
      </c>
    </row>
    <row r="153" spans="1:1" ht="32.1" customHeight="1">
      <c r="A153" s="3" t="s">
        <v>115</v>
      </c>
    </row>
    <row r="154" spans="1:1" ht="32.1" customHeight="1"/>
    <row r="155" spans="1:1" ht="44.1" customHeight="1"/>
    <row r="156" spans="1:1" ht="44.1" customHeight="1">
      <c r="A156" s="1" t="s">
        <v>116</v>
      </c>
    </row>
    <row r="158" spans="1:1">
      <c r="A158" s="3" t="s">
        <v>117</v>
      </c>
    </row>
    <row r="159" spans="1:1" ht="24" customHeight="1">
      <c r="A159" s="3" t="s">
        <v>118</v>
      </c>
    </row>
    <row r="160" spans="1:1">
      <c r="A160" s="3" t="s">
        <v>119</v>
      </c>
    </row>
    <row r="161" spans="1:1" ht="32.1" customHeight="1">
      <c r="A161" s="3" t="s">
        <v>120</v>
      </c>
    </row>
    <row r="162" spans="1:1" ht="32.1" customHeight="1"/>
    <row r="163" spans="1:1" ht="44.1" customHeight="1"/>
    <row r="164" spans="1:1" ht="44.1" customHeight="1">
      <c r="A164" s="8" t="s">
        <v>121</v>
      </c>
    </row>
    <row r="166" spans="1:1" ht="32.1" customHeight="1">
      <c r="A166" s="3" t="s">
        <v>122</v>
      </c>
    </row>
    <row r="167" spans="1:1">
      <c r="A167" s="3" t="s">
        <v>123</v>
      </c>
    </row>
    <row r="168" spans="1:1">
      <c r="A168" s="3" t="s">
        <v>124</v>
      </c>
    </row>
    <row r="169" spans="1:1" ht="24" customHeight="1">
      <c r="A169" s="3" t="s">
        <v>125</v>
      </c>
    </row>
    <row r="170" spans="1:1">
      <c r="A170" s="3" t="s">
        <v>126</v>
      </c>
    </row>
    <row r="171" spans="1:1" ht="44.1" customHeight="1">
      <c r="A171" s="3" t="s">
        <v>127</v>
      </c>
    </row>
    <row r="173" spans="1:1" ht="32.1" customHeight="1"/>
    <row r="174" spans="1:1" ht="44.1" customHeight="1">
      <c r="A174" s="1" t="s">
        <v>128</v>
      </c>
    </row>
    <row r="175" spans="1:1" ht="44.1" customHeight="1"/>
    <row r="176" spans="1:1" ht="72" customHeight="1">
      <c r="A176" s="3" t="s">
        <v>129</v>
      </c>
    </row>
    <row r="178" spans="1:1">
      <c r="A178" s="3" t="s">
        <v>130</v>
      </c>
    </row>
    <row r="179" spans="1:1" ht="32.1" customHeight="1">
      <c r="A179" s="3" t="s">
        <v>131</v>
      </c>
    </row>
    <row r="180" spans="1:1" ht="72" customHeight="1">
      <c r="A180" s="3" t="s">
        <v>132</v>
      </c>
    </row>
    <row r="181" spans="1:1">
      <c r="A181" s="3" t="s">
        <v>133</v>
      </c>
    </row>
    <row r="183" spans="1:1" ht="32.1" customHeight="1">
      <c r="A183" s="6" t="s">
        <v>134</v>
      </c>
    </row>
    <row r="184" spans="1:1" ht="32.1" customHeight="1">
      <c r="A184" s="3" t="s">
        <v>135</v>
      </c>
    </row>
    <row r="185" spans="1:1" ht="32.1" customHeight="1">
      <c r="A185" s="3" t="s">
        <v>136</v>
      </c>
    </row>
    <row r="186" spans="1:1" ht="32.1" customHeight="1"/>
    <row r="187" spans="1:1">
      <c r="A187" s="6" t="s">
        <v>137</v>
      </c>
    </row>
    <row r="188" spans="1:1">
      <c r="A188" s="3" t="s">
        <v>138</v>
      </c>
    </row>
    <row r="189" spans="1:1">
      <c r="A189" s="3" t="s">
        <v>139</v>
      </c>
    </row>
    <row r="190" spans="1:1">
      <c r="A190" s="3" t="s">
        <v>140</v>
      </c>
    </row>
    <row r="191" spans="1:1">
      <c r="A191" s="3" t="s">
        <v>141</v>
      </c>
    </row>
    <row r="193" spans="1:1">
      <c r="A193" s="2" t="s">
        <v>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workbookViewId="0">
      <pane ySplit="3" topLeftCell="A4" activePane="bottomLeft" state="frozen"/>
      <selection pane="bottomLeft" activeCell="A24" sqref="A24"/>
    </sheetView>
  </sheetViews>
  <sheetFormatPr defaultColWidth="8.85546875" defaultRowHeight="15"/>
  <cols>
    <col min="1" max="1" width="30" customWidth="1"/>
    <col min="2" max="5" width="24" customWidth="1"/>
  </cols>
  <sheetData>
    <row r="1" spans="1:3" ht="27.95" customHeight="1">
      <c r="A1" s="80" t="s">
        <v>143</v>
      </c>
      <c r="B1" s="81"/>
      <c r="C1" s="81"/>
    </row>
    <row r="3" spans="1:3">
      <c r="A3" s="9" t="s">
        <v>144</v>
      </c>
      <c r="B3" s="9" t="s">
        <v>145</v>
      </c>
      <c r="C3" s="9" t="s">
        <v>146</v>
      </c>
    </row>
    <row r="4" spans="1:3">
      <c r="A4" s="10" t="s">
        <v>147</v>
      </c>
      <c r="B4" s="11">
        <v>46174</v>
      </c>
      <c r="C4" s="13" t="s">
        <v>148</v>
      </c>
    </row>
    <row r="5" spans="1:3" ht="98.1" customHeight="1">
      <c r="A5" s="10" t="s">
        <v>149</v>
      </c>
      <c r="B5" s="13" t="s">
        <v>150</v>
      </c>
      <c r="C5" s="12" t="s">
        <v>151</v>
      </c>
    </row>
    <row r="6" spans="1:3" ht="27.95" customHeight="1">
      <c r="A6" s="10" t="s">
        <v>152</v>
      </c>
      <c r="B6" s="13" t="s">
        <v>153</v>
      </c>
      <c r="C6" s="12" t="s">
        <v>154</v>
      </c>
    </row>
    <row r="7" spans="1:3" ht="27.95" customHeight="1">
      <c r="A7" s="10" t="s">
        <v>155</v>
      </c>
      <c r="B7" s="13" t="s">
        <v>156</v>
      </c>
      <c r="C7" s="12" t="s">
        <v>157</v>
      </c>
    </row>
    <row r="8" spans="1:3" ht="27.95" customHeight="1">
      <c r="A8" s="10" t="s">
        <v>158</v>
      </c>
      <c r="B8" s="13" t="s">
        <v>159</v>
      </c>
      <c r="C8" s="12" t="s">
        <v>157</v>
      </c>
    </row>
    <row r="9" spans="1:3" ht="27.95" customHeight="1">
      <c r="A9" s="10" t="s">
        <v>160</v>
      </c>
      <c r="B9" s="13" t="s">
        <v>161</v>
      </c>
      <c r="C9" s="12" t="s">
        <v>157</v>
      </c>
    </row>
    <row r="10" spans="1:3" ht="27.95" customHeight="1">
      <c r="A10" s="10"/>
      <c r="B10" s="13"/>
      <c r="C10" s="12"/>
    </row>
    <row r="11" spans="1:3" ht="27.95" customHeight="1">
      <c r="A11" s="10"/>
      <c r="B11" s="13"/>
      <c r="C11" s="12"/>
    </row>
    <row r="12" spans="1:3" ht="27.95" customHeight="1">
      <c r="A12" s="10"/>
      <c r="B12" s="13"/>
      <c r="C12" s="12"/>
    </row>
    <row r="13" spans="1:3" ht="27.95" customHeight="1">
      <c r="A13" s="10" t="s">
        <v>162</v>
      </c>
      <c r="B13" s="13" t="s">
        <v>163</v>
      </c>
      <c r="C13" s="12" t="s">
        <v>164</v>
      </c>
    </row>
    <row r="14" spans="1:3" ht="56.1" customHeight="1">
      <c r="A14" s="10" t="s">
        <v>165</v>
      </c>
      <c r="B14" s="13" t="s">
        <v>166</v>
      </c>
      <c r="C14" s="12" t="s">
        <v>167</v>
      </c>
    </row>
    <row r="18" spans="1:5">
      <c r="A18" s="82" t="s">
        <v>168</v>
      </c>
      <c r="B18" s="81"/>
      <c r="C18" s="81"/>
      <c r="D18" s="81"/>
      <c r="E18" s="81"/>
    </row>
    <row r="19" spans="1:5">
      <c r="A19" s="14" t="s">
        <v>169</v>
      </c>
      <c r="B19" s="14" t="s">
        <v>170</v>
      </c>
      <c r="C19" s="14" t="s">
        <v>171</v>
      </c>
      <c r="D19" s="14" t="s">
        <v>172</v>
      </c>
      <c r="E19" s="14" t="s">
        <v>173</v>
      </c>
    </row>
    <row r="20" spans="1:5">
      <c r="A20" s="10" t="s">
        <v>174</v>
      </c>
      <c r="B20" s="15">
        <v>0.35</v>
      </c>
      <c r="C20" s="15">
        <v>0.18</v>
      </c>
      <c r="D20" s="15">
        <v>0.28999999999999998</v>
      </c>
      <c r="E20" s="15">
        <v>0.18</v>
      </c>
    </row>
    <row r="21" spans="1:5">
      <c r="A21" s="10" t="s">
        <v>175</v>
      </c>
      <c r="B21" s="15">
        <v>0.28999999999999998</v>
      </c>
      <c r="C21" s="15">
        <v>0.35</v>
      </c>
      <c r="D21" s="15">
        <v>0.24</v>
      </c>
      <c r="E21" s="15">
        <v>0.12</v>
      </c>
    </row>
    <row r="22" spans="1:5">
      <c r="A22" s="10" t="s">
        <v>176</v>
      </c>
      <c r="B22" s="15">
        <v>0.25</v>
      </c>
      <c r="C22" s="15">
        <v>0.19</v>
      </c>
      <c r="D22" s="15">
        <v>0.31</v>
      </c>
      <c r="E22" s="15">
        <v>0.25</v>
      </c>
    </row>
    <row r="23" spans="1:5">
      <c r="A23" s="10" t="s">
        <v>177</v>
      </c>
      <c r="B23" s="15">
        <v>0.25</v>
      </c>
      <c r="C23" s="15">
        <v>0.25</v>
      </c>
      <c r="D23" s="15">
        <v>0.25</v>
      </c>
      <c r="E23" s="15">
        <v>0.25</v>
      </c>
    </row>
    <row r="24" spans="1:5">
      <c r="A24" s="10" t="s">
        <v>150</v>
      </c>
      <c r="B24" s="14">
        <v>0.36</v>
      </c>
      <c r="C24" s="14">
        <v>0.22</v>
      </c>
      <c r="D24" s="14">
        <v>0.3</v>
      </c>
      <c r="E24" s="14">
        <v>0.12</v>
      </c>
    </row>
  </sheetData>
  <mergeCells count="2">
    <mergeCell ref="A1:C1"/>
    <mergeCell ref="A18:E18"/>
  </mergeCells>
  <dataValidations count="2">
    <dataValidation type="date" operator="greaterThan" errorTitle="Invalid date" error="Enter a valid date (e.g. 2026-05-01)." sqref="B4" xr:uid="{00000000-0002-0000-0100-000000000000}">
      <formula1>2024-1-1</formula1>
    </dataValidation>
    <dataValidation type="list" sqref="B5" xr:uid="{00000000-0002-0000-0100-000001000000}">
      <formula1>"B2B SaaS,D2C / Retail,B2B Enterprise,Custom (intake-set),CPG/Household Brand"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1"/>
  <sheetViews>
    <sheetView workbookViewId="0">
      <pane xSplit="3" ySplit="3" topLeftCell="D36" activePane="bottomRight" state="frozen"/>
      <selection pane="bottomRight" activeCell="F46" sqref="F46"/>
      <selection pane="bottomLeft"/>
      <selection pane="topRight"/>
    </sheetView>
  </sheetViews>
  <sheetFormatPr defaultColWidth="8.85546875" defaultRowHeight="15"/>
  <cols>
    <col min="1" max="1" width="6" customWidth="1"/>
    <col min="2" max="2" width="18" customWidth="1"/>
    <col min="3" max="3" width="42" customWidth="1"/>
    <col min="4" max="4" width="10" customWidth="1"/>
    <col min="5" max="5" width="36" customWidth="1"/>
    <col min="6" max="6" width="30" customWidth="1"/>
    <col min="7" max="7" width="10" customWidth="1"/>
    <col min="8" max="8" width="13" customWidth="1"/>
    <col min="9" max="10" width="38" customWidth="1"/>
    <col min="11" max="11" width="60" customWidth="1"/>
    <col min="12" max="12" width="50" customWidth="1"/>
  </cols>
  <sheetData>
    <row r="1" spans="1:12" ht="27.95" customHeight="1">
      <c r="A1" s="80" t="s">
        <v>178</v>
      </c>
      <c r="B1" s="81"/>
      <c r="C1" s="81"/>
      <c r="D1" s="81"/>
      <c r="E1" s="81"/>
      <c r="F1" s="81"/>
      <c r="G1" s="81"/>
      <c r="H1" s="81"/>
      <c r="I1" s="81"/>
      <c r="J1" s="81"/>
      <c r="K1" s="81"/>
      <c r="L1" s="81"/>
    </row>
    <row r="3" spans="1:12">
      <c r="A3" s="9" t="s">
        <v>179</v>
      </c>
      <c r="B3" s="9" t="s">
        <v>180</v>
      </c>
      <c r="C3" s="9" t="s">
        <v>181</v>
      </c>
      <c r="D3" s="9" t="s">
        <v>182</v>
      </c>
      <c r="E3" s="9" t="s">
        <v>183</v>
      </c>
      <c r="F3" s="9" t="s">
        <v>184</v>
      </c>
      <c r="G3" s="9" t="s">
        <v>185</v>
      </c>
      <c r="H3" s="9" t="s">
        <v>186</v>
      </c>
      <c r="I3" s="9" t="s">
        <v>187</v>
      </c>
      <c r="J3" s="9" t="s">
        <v>188</v>
      </c>
      <c r="K3" s="9" t="s">
        <v>189</v>
      </c>
      <c r="L3" s="9" t="s">
        <v>190</v>
      </c>
    </row>
    <row r="4" spans="1:12" ht="69.95" customHeight="1">
      <c r="A4" s="3">
        <v>1</v>
      </c>
      <c r="B4" s="3" t="s">
        <v>191</v>
      </c>
      <c r="C4" s="3" t="s">
        <v>192</v>
      </c>
      <c r="D4" s="3" t="s">
        <v>193</v>
      </c>
      <c r="E4" s="3" t="s">
        <v>194</v>
      </c>
      <c r="F4" s="3" t="s">
        <v>171</v>
      </c>
      <c r="G4" s="16">
        <v>0.05</v>
      </c>
      <c r="H4" s="3" t="s">
        <v>193</v>
      </c>
      <c r="I4" s="3" t="s">
        <v>195</v>
      </c>
      <c r="J4" s="3" t="s">
        <v>196</v>
      </c>
      <c r="K4" s="3" t="s">
        <v>197</v>
      </c>
      <c r="L4" s="3" t="s">
        <v>198</v>
      </c>
    </row>
    <row r="5" spans="1:12" ht="56.1" customHeight="1">
      <c r="A5" s="3">
        <v>2</v>
      </c>
      <c r="B5" s="3" t="s">
        <v>191</v>
      </c>
      <c r="C5" s="3" t="s">
        <v>199</v>
      </c>
      <c r="D5" s="3" t="s">
        <v>193</v>
      </c>
      <c r="E5" s="3" t="s">
        <v>194</v>
      </c>
      <c r="F5" s="3" t="s">
        <v>171</v>
      </c>
      <c r="G5" s="16">
        <v>0.08</v>
      </c>
      <c r="H5" s="3" t="s">
        <v>193</v>
      </c>
      <c r="I5" s="3" t="s">
        <v>200</v>
      </c>
      <c r="J5" s="3" t="s">
        <v>201</v>
      </c>
      <c r="K5" s="3" t="s">
        <v>202</v>
      </c>
      <c r="L5" s="3" t="s">
        <v>203</v>
      </c>
    </row>
    <row r="6" spans="1:12" ht="69.95" customHeight="1">
      <c r="A6" s="3">
        <v>3</v>
      </c>
      <c r="B6" s="3" t="s">
        <v>191</v>
      </c>
      <c r="C6" s="3" t="s">
        <v>204</v>
      </c>
      <c r="D6" s="3" t="s">
        <v>193</v>
      </c>
      <c r="E6" s="3" t="s">
        <v>194</v>
      </c>
      <c r="F6" s="3" t="s">
        <v>171</v>
      </c>
      <c r="G6" s="16">
        <v>0.04</v>
      </c>
      <c r="H6" s="3" t="s">
        <v>193</v>
      </c>
      <c r="I6" s="3" t="s">
        <v>205</v>
      </c>
      <c r="J6" s="3" t="s">
        <v>206</v>
      </c>
      <c r="K6" s="3" t="s">
        <v>207</v>
      </c>
      <c r="L6" s="3" t="s">
        <v>208</v>
      </c>
    </row>
    <row r="7" spans="1:12" ht="42" customHeight="1">
      <c r="A7" s="3">
        <v>4</v>
      </c>
      <c r="B7" s="3" t="s">
        <v>191</v>
      </c>
      <c r="C7" s="3" t="s">
        <v>209</v>
      </c>
      <c r="D7" s="3" t="s">
        <v>193</v>
      </c>
      <c r="E7" s="3" t="s">
        <v>194</v>
      </c>
      <c r="F7" s="3" t="s">
        <v>171</v>
      </c>
      <c r="G7" s="16">
        <v>0.06</v>
      </c>
      <c r="H7" s="3" t="s">
        <v>193</v>
      </c>
      <c r="I7" s="3" t="s">
        <v>210</v>
      </c>
      <c r="J7" s="3" t="s">
        <v>211</v>
      </c>
      <c r="K7" s="3" t="s">
        <v>212</v>
      </c>
      <c r="L7" s="3" t="s">
        <v>213</v>
      </c>
    </row>
    <row r="8" spans="1:12" ht="42" customHeight="1">
      <c r="A8" s="3">
        <v>5</v>
      </c>
      <c r="B8" s="3" t="s">
        <v>191</v>
      </c>
      <c r="C8" s="3" t="s">
        <v>214</v>
      </c>
      <c r="D8" s="3" t="s">
        <v>193</v>
      </c>
      <c r="E8" s="3" t="s">
        <v>194</v>
      </c>
      <c r="F8" s="3" t="s">
        <v>171</v>
      </c>
      <c r="G8" s="16">
        <v>0.03</v>
      </c>
      <c r="H8" s="3" t="s">
        <v>193</v>
      </c>
      <c r="I8" s="3" t="s">
        <v>215</v>
      </c>
      <c r="J8" s="3" t="s">
        <v>216</v>
      </c>
      <c r="K8" s="3" t="s">
        <v>217</v>
      </c>
      <c r="L8" s="3" t="s">
        <v>218</v>
      </c>
    </row>
    <row r="9" spans="1:12" ht="42" customHeight="1">
      <c r="A9" s="3">
        <v>6</v>
      </c>
      <c r="B9" s="3" t="s">
        <v>191</v>
      </c>
      <c r="C9" s="3" t="s">
        <v>219</v>
      </c>
      <c r="D9" s="3" t="s">
        <v>193</v>
      </c>
      <c r="E9" s="3" t="s">
        <v>194</v>
      </c>
      <c r="F9" s="3" t="s">
        <v>171</v>
      </c>
      <c r="G9" s="16">
        <v>0.04</v>
      </c>
      <c r="H9" s="3" t="s">
        <v>193</v>
      </c>
      <c r="I9" s="3" t="s">
        <v>220</v>
      </c>
      <c r="J9" s="3" t="s">
        <v>216</v>
      </c>
      <c r="K9" s="3" t="s">
        <v>221</v>
      </c>
      <c r="L9" s="3" t="s">
        <v>222</v>
      </c>
    </row>
    <row r="10" spans="1:12" ht="69.95" customHeight="1">
      <c r="A10" s="3">
        <v>7</v>
      </c>
      <c r="B10" s="3" t="s">
        <v>191</v>
      </c>
      <c r="C10" s="3" t="s">
        <v>223</v>
      </c>
      <c r="D10" s="3" t="s">
        <v>193</v>
      </c>
      <c r="E10" s="3" t="s">
        <v>224</v>
      </c>
      <c r="F10" s="3" t="s">
        <v>173</v>
      </c>
      <c r="G10" s="16">
        <v>0.05</v>
      </c>
      <c r="H10" s="3" t="s">
        <v>225</v>
      </c>
      <c r="I10" s="3" t="s">
        <v>226</v>
      </c>
      <c r="J10" s="3" t="s">
        <v>227</v>
      </c>
      <c r="K10" s="3" t="s">
        <v>228</v>
      </c>
      <c r="L10" s="3" t="s">
        <v>229</v>
      </c>
    </row>
    <row r="11" spans="1:12" ht="69.95" customHeight="1">
      <c r="A11" s="3">
        <v>8</v>
      </c>
      <c r="B11" s="3" t="s">
        <v>191</v>
      </c>
      <c r="C11" s="3" t="s">
        <v>230</v>
      </c>
      <c r="D11" s="3" t="s">
        <v>193</v>
      </c>
      <c r="E11" s="3" t="s">
        <v>231</v>
      </c>
      <c r="F11" s="3" t="s">
        <v>171</v>
      </c>
      <c r="G11" s="16">
        <v>7.0000000000000007E-2</v>
      </c>
      <c r="H11" s="3" t="s">
        <v>225</v>
      </c>
      <c r="I11" s="3" t="s">
        <v>232</v>
      </c>
      <c r="J11" s="3" t="s">
        <v>233</v>
      </c>
      <c r="K11" s="3" t="s">
        <v>234</v>
      </c>
      <c r="L11" s="3" t="s">
        <v>235</v>
      </c>
    </row>
    <row r="12" spans="1:12" ht="27.95" customHeight="1">
      <c r="A12" s="3">
        <v>9</v>
      </c>
      <c r="B12" s="3" t="s">
        <v>191</v>
      </c>
      <c r="C12" s="3" t="s">
        <v>236</v>
      </c>
      <c r="D12" s="3" t="s">
        <v>193</v>
      </c>
      <c r="E12" s="3" t="s">
        <v>231</v>
      </c>
      <c r="F12" s="3" t="s">
        <v>171</v>
      </c>
      <c r="G12" s="16"/>
      <c r="H12" s="3" t="s">
        <v>225</v>
      </c>
      <c r="I12" s="3" t="s">
        <v>237</v>
      </c>
      <c r="J12" s="3"/>
      <c r="K12" s="3" t="s">
        <v>238</v>
      </c>
      <c r="L12" s="3" t="s">
        <v>239</v>
      </c>
    </row>
    <row r="13" spans="1:12" ht="69.95" customHeight="1">
      <c r="A13" s="3">
        <v>10</v>
      </c>
      <c r="B13" s="3" t="s">
        <v>191</v>
      </c>
      <c r="C13" s="3" t="s">
        <v>240</v>
      </c>
      <c r="D13" s="3" t="s">
        <v>193</v>
      </c>
      <c r="E13" s="3" t="s">
        <v>241</v>
      </c>
      <c r="F13" s="3" t="s">
        <v>173</v>
      </c>
      <c r="G13" s="16">
        <v>0.06</v>
      </c>
      <c r="H13" s="3" t="s">
        <v>225</v>
      </c>
      <c r="I13" s="3" t="s">
        <v>242</v>
      </c>
      <c r="J13" s="3" t="s">
        <v>243</v>
      </c>
      <c r="K13" s="3" t="s">
        <v>244</v>
      </c>
      <c r="L13" s="3" t="s">
        <v>245</v>
      </c>
    </row>
    <row r="14" spans="1:12" ht="27.95" customHeight="1">
      <c r="A14" s="3">
        <v>11</v>
      </c>
      <c r="B14" s="3" t="s">
        <v>191</v>
      </c>
      <c r="C14" s="3" t="s">
        <v>246</v>
      </c>
      <c r="D14" s="3" t="s">
        <v>193</v>
      </c>
      <c r="E14" s="3" t="s">
        <v>231</v>
      </c>
      <c r="F14" s="3" t="s">
        <v>171</v>
      </c>
      <c r="G14" s="16">
        <v>0.05</v>
      </c>
      <c r="H14" s="3" t="s">
        <v>193</v>
      </c>
      <c r="I14" s="3" t="s">
        <v>247</v>
      </c>
      <c r="J14" s="3"/>
      <c r="K14" s="3" t="s">
        <v>248</v>
      </c>
      <c r="L14" s="3" t="s">
        <v>249</v>
      </c>
    </row>
    <row r="15" spans="1:12" ht="69.95" customHeight="1">
      <c r="A15" s="3">
        <v>12</v>
      </c>
      <c r="B15" s="3" t="s">
        <v>191</v>
      </c>
      <c r="C15" s="3" t="s">
        <v>250</v>
      </c>
      <c r="D15" s="3" t="s">
        <v>193</v>
      </c>
      <c r="E15" s="3" t="s">
        <v>251</v>
      </c>
      <c r="F15" s="3" t="s">
        <v>171</v>
      </c>
      <c r="G15" s="16">
        <v>0.08</v>
      </c>
      <c r="H15" s="3" t="s">
        <v>193</v>
      </c>
      <c r="I15" s="3" t="s">
        <v>252</v>
      </c>
      <c r="J15" s="3" t="s">
        <v>253</v>
      </c>
      <c r="K15" s="3" t="s">
        <v>254</v>
      </c>
      <c r="L15" s="3" t="s">
        <v>255</v>
      </c>
    </row>
    <row r="16" spans="1:12" ht="69.95" customHeight="1">
      <c r="A16" s="3">
        <v>13</v>
      </c>
      <c r="B16" s="3" t="s">
        <v>191</v>
      </c>
      <c r="C16" s="3" t="s">
        <v>256</v>
      </c>
      <c r="D16" s="3" t="s">
        <v>193</v>
      </c>
      <c r="E16" s="3" t="s">
        <v>241</v>
      </c>
      <c r="F16" s="3" t="s">
        <v>173</v>
      </c>
      <c r="G16" s="16">
        <v>0.06</v>
      </c>
      <c r="H16" s="3" t="s">
        <v>225</v>
      </c>
      <c r="I16" s="3" t="s">
        <v>257</v>
      </c>
      <c r="J16" s="3" t="s">
        <v>258</v>
      </c>
      <c r="K16" s="3" t="s">
        <v>259</v>
      </c>
      <c r="L16" s="3" t="s">
        <v>260</v>
      </c>
    </row>
    <row r="17" spans="1:12" ht="27.95" customHeight="1">
      <c r="A17" s="17">
        <v>14</v>
      </c>
      <c r="B17" s="17" t="s">
        <v>191</v>
      </c>
      <c r="C17" s="17" t="s">
        <v>261</v>
      </c>
      <c r="D17" s="17" t="s">
        <v>262</v>
      </c>
      <c r="E17" s="18" t="s">
        <v>263</v>
      </c>
      <c r="F17" s="18" t="s">
        <v>263</v>
      </c>
      <c r="G17" s="19">
        <v>0.04</v>
      </c>
      <c r="H17" s="17" t="s">
        <v>225</v>
      </c>
      <c r="I17" s="17" t="s">
        <v>264</v>
      </c>
      <c r="J17" s="17"/>
      <c r="K17" s="17" t="s">
        <v>265</v>
      </c>
      <c r="L17" s="17" t="s">
        <v>266</v>
      </c>
    </row>
    <row r="18" spans="1:12" ht="27.95" customHeight="1">
      <c r="A18" s="17">
        <v>15</v>
      </c>
      <c r="B18" s="17" t="s">
        <v>191</v>
      </c>
      <c r="C18" s="17" t="s">
        <v>267</v>
      </c>
      <c r="D18" s="17" t="s">
        <v>262</v>
      </c>
      <c r="E18" s="18" t="s">
        <v>263</v>
      </c>
      <c r="F18" s="18" t="s">
        <v>263</v>
      </c>
      <c r="G18" s="19">
        <v>0.05</v>
      </c>
      <c r="H18" s="17" t="s">
        <v>225</v>
      </c>
      <c r="I18" s="17" t="s">
        <v>268</v>
      </c>
      <c r="J18" s="17" t="s">
        <v>269</v>
      </c>
      <c r="K18" s="17" t="s">
        <v>270</v>
      </c>
      <c r="L18" s="17" t="s">
        <v>271</v>
      </c>
    </row>
    <row r="19" spans="1:12" ht="69.95" customHeight="1">
      <c r="A19" s="3">
        <v>16</v>
      </c>
      <c r="B19" s="3" t="s">
        <v>191</v>
      </c>
      <c r="C19" s="3" t="s">
        <v>272</v>
      </c>
      <c r="D19" s="3" t="s">
        <v>193</v>
      </c>
      <c r="E19" s="3" t="s">
        <v>273</v>
      </c>
      <c r="F19" s="3" t="s">
        <v>173</v>
      </c>
      <c r="G19" s="16">
        <v>0.05</v>
      </c>
      <c r="H19" s="3" t="s">
        <v>225</v>
      </c>
      <c r="I19" s="3" t="s">
        <v>274</v>
      </c>
      <c r="J19" s="3"/>
      <c r="K19" s="3" t="s">
        <v>275</v>
      </c>
      <c r="L19" s="3" t="s">
        <v>276</v>
      </c>
    </row>
    <row r="20" spans="1:12" ht="27.95" customHeight="1">
      <c r="A20" s="3">
        <v>17</v>
      </c>
      <c r="B20" s="3" t="s">
        <v>191</v>
      </c>
      <c r="C20" s="3" t="s">
        <v>277</v>
      </c>
      <c r="D20" s="3" t="s">
        <v>193</v>
      </c>
      <c r="E20" s="3" t="s">
        <v>278</v>
      </c>
      <c r="F20" s="3" t="s">
        <v>173</v>
      </c>
      <c r="G20" s="16">
        <v>0.03</v>
      </c>
      <c r="H20" s="3" t="s">
        <v>193</v>
      </c>
      <c r="I20" s="3" t="s">
        <v>279</v>
      </c>
      <c r="J20" s="3" t="s">
        <v>280</v>
      </c>
      <c r="K20" s="3" t="s">
        <v>281</v>
      </c>
      <c r="L20" s="3" t="s">
        <v>282</v>
      </c>
    </row>
    <row r="21" spans="1:12" ht="56.1" customHeight="1">
      <c r="A21" s="3">
        <v>18</v>
      </c>
      <c r="B21" s="3" t="s">
        <v>191</v>
      </c>
      <c r="C21" s="3" t="s">
        <v>283</v>
      </c>
      <c r="D21" s="3" t="s">
        <v>193</v>
      </c>
      <c r="E21" s="3" t="s">
        <v>284</v>
      </c>
      <c r="F21" s="3" t="s">
        <v>170</v>
      </c>
      <c r="G21" s="16">
        <v>0.04</v>
      </c>
      <c r="H21" s="3" t="s">
        <v>193</v>
      </c>
      <c r="I21" s="3" t="s">
        <v>285</v>
      </c>
      <c r="J21" s="3"/>
      <c r="K21" s="3" t="s">
        <v>286</v>
      </c>
      <c r="L21" s="3" t="s">
        <v>287</v>
      </c>
    </row>
    <row r="22" spans="1:12" ht="56.1" customHeight="1">
      <c r="A22" s="3">
        <v>19</v>
      </c>
      <c r="B22" s="3" t="s">
        <v>191</v>
      </c>
      <c r="C22" s="3" t="s">
        <v>288</v>
      </c>
      <c r="D22" s="3" t="s">
        <v>193</v>
      </c>
      <c r="E22" s="3" t="s">
        <v>284</v>
      </c>
      <c r="F22" s="3" t="s">
        <v>170</v>
      </c>
      <c r="G22" s="16">
        <v>0.02</v>
      </c>
      <c r="H22" s="3" t="s">
        <v>193</v>
      </c>
      <c r="I22" s="3" t="s">
        <v>285</v>
      </c>
      <c r="J22" s="3" t="s">
        <v>289</v>
      </c>
      <c r="K22" s="3" t="s">
        <v>290</v>
      </c>
      <c r="L22" s="3" t="s">
        <v>291</v>
      </c>
    </row>
    <row r="23" spans="1:12" ht="69.95" customHeight="1">
      <c r="A23" s="3">
        <v>20</v>
      </c>
      <c r="B23" s="3" t="s">
        <v>191</v>
      </c>
      <c r="C23" s="3" t="s">
        <v>292</v>
      </c>
      <c r="D23" s="3" t="s">
        <v>193</v>
      </c>
      <c r="E23" s="3" t="s">
        <v>194</v>
      </c>
      <c r="F23" s="3" t="s">
        <v>171</v>
      </c>
      <c r="G23" s="16">
        <v>0.04</v>
      </c>
      <c r="H23" s="3" t="s">
        <v>193</v>
      </c>
      <c r="I23" s="3" t="s">
        <v>293</v>
      </c>
      <c r="J23" s="3" t="s">
        <v>294</v>
      </c>
      <c r="K23" s="3" t="s">
        <v>295</v>
      </c>
      <c r="L23" s="3" t="s">
        <v>296</v>
      </c>
    </row>
    <row r="24" spans="1:12" ht="56.1" customHeight="1">
      <c r="A24" s="3">
        <v>21</v>
      </c>
      <c r="B24" s="3" t="s">
        <v>191</v>
      </c>
      <c r="C24" s="3" t="s">
        <v>297</v>
      </c>
      <c r="D24" s="3" t="s">
        <v>193</v>
      </c>
      <c r="E24" s="3" t="s">
        <v>194</v>
      </c>
      <c r="F24" s="3" t="s">
        <v>171</v>
      </c>
      <c r="G24" s="16">
        <v>0.02</v>
      </c>
      <c r="H24" s="3" t="s">
        <v>193</v>
      </c>
      <c r="I24" s="3" t="s">
        <v>298</v>
      </c>
      <c r="J24" s="3" t="s">
        <v>299</v>
      </c>
      <c r="K24" s="3" t="s">
        <v>300</v>
      </c>
      <c r="L24" s="3" t="s">
        <v>301</v>
      </c>
    </row>
    <row r="25" spans="1:12" ht="69.95" customHeight="1">
      <c r="A25" s="3">
        <v>22</v>
      </c>
      <c r="B25" s="3" t="s">
        <v>191</v>
      </c>
      <c r="C25" s="3" t="s">
        <v>302</v>
      </c>
      <c r="D25" s="3" t="s">
        <v>193</v>
      </c>
      <c r="E25" s="3" t="s">
        <v>194</v>
      </c>
      <c r="F25" s="3" t="s">
        <v>171</v>
      </c>
      <c r="G25" s="16">
        <v>0.02</v>
      </c>
      <c r="H25" s="3" t="s">
        <v>193</v>
      </c>
      <c r="I25" s="3" t="s">
        <v>303</v>
      </c>
      <c r="J25" s="3" t="s">
        <v>304</v>
      </c>
      <c r="K25" s="3" t="s">
        <v>305</v>
      </c>
      <c r="L25" s="3" t="s">
        <v>306</v>
      </c>
    </row>
    <row r="26" spans="1:12" ht="56.1" customHeight="1">
      <c r="A26" s="3">
        <v>23</v>
      </c>
      <c r="B26" s="3" t="s">
        <v>191</v>
      </c>
      <c r="C26" s="3" t="s">
        <v>307</v>
      </c>
      <c r="D26" s="3" t="s">
        <v>193</v>
      </c>
      <c r="E26" s="3" t="s">
        <v>241</v>
      </c>
      <c r="F26" s="3" t="s">
        <v>173</v>
      </c>
      <c r="G26" s="16">
        <v>0.01</v>
      </c>
      <c r="H26" s="3" t="s">
        <v>193</v>
      </c>
      <c r="I26" s="3" t="s">
        <v>308</v>
      </c>
      <c r="J26" s="3" t="s">
        <v>309</v>
      </c>
      <c r="K26" s="3" t="s">
        <v>310</v>
      </c>
      <c r="L26" s="3" t="s">
        <v>311</v>
      </c>
    </row>
    <row r="27" spans="1:12" ht="27.95" customHeight="1">
      <c r="A27" s="3">
        <v>24</v>
      </c>
      <c r="B27" s="3" t="s">
        <v>191</v>
      </c>
      <c r="C27" s="3" t="s">
        <v>312</v>
      </c>
      <c r="D27" s="3" t="s">
        <v>193</v>
      </c>
      <c r="E27" s="3" t="s">
        <v>313</v>
      </c>
      <c r="F27" s="3" t="s">
        <v>170</v>
      </c>
      <c r="G27" s="16">
        <v>0.01</v>
      </c>
      <c r="H27" s="3" t="s">
        <v>193</v>
      </c>
      <c r="I27" s="3" t="s">
        <v>314</v>
      </c>
      <c r="J27" s="3" t="s">
        <v>315</v>
      </c>
      <c r="K27" s="3" t="s">
        <v>316</v>
      </c>
      <c r="L27" s="3" t="s">
        <v>317</v>
      </c>
    </row>
    <row r="28" spans="1:12" ht="42" customHeight="1">
      <c r="A28" s="3">
        <v>25</v>
      </c>
      <c r="B28" s="3" t="s">
        <v>191</v>
      </c>
      <c r="C28" s="3" t="s">
        <v>318</v>
      </c>
      <c r="D28" s="3" t="s">
        <v>193</v>
      </c>
      <c r="E28" s="3" t="s">
        <v>194</v>
      </c>
      <c r="F28" s="3" t="s">
        <v>171</v>
      </c>
      <c r="G28" s="16">
        <v>0.02</v>
      </c>
      <c r="H28" s="3" t="s">
        <v>193</v>
      </c>
      <c r="I28" s="3" t="s">
        <v>319</v>
      </c>
      <c r="J28" s="3" t="s">
        <v>320</v>
      </c>
      <c r="K28" s="3" t="s">
        <v>321</v>
      </c>
      <c r="L28" s="3" t="s">
        <v>322</v>
      </c>
    </row>
    <row r="29" spans="1:12" ht="27.95" customHeight="1">
      <c r="A29" s="3">
        <v>26</v>
      </c>
      <c r="B29" s="3" t="s">
        <v>323</v>
      </c>
      <c r="C29" s="3" t="s">
        <v>324</v>
      </c>
      <c r="D29" s="3" t="s">
        <v>193</v>
      </c>
      <c r="E29" s="3" t="s">
        <v>325</v>
      </c>
      <c r="F29" s="3" t="s">
        <v>172</v>
      </c>
      <c r="G29" s="16">
        <v>7.0000000000000007E-2</v>
      </c>
      <c r="H29" s="3" t="s">
        <v>225</v>
      </c>
      <c r="I29" s="3" t="s">
        <v>326</v>
      </c>
      <c r="J29" s="3" t="s">
        <v>263</v>
      </c>
      <c r="K29" s="3" t="s">
        <v>327</v>
      </c>
      <c r="L29" s="3" t="s">
        <v>328</v>
      </c>
    </row>
    <row r="30" spans="1:12" ht="27.95" customHeight="1">
      <c r="A30" s="3">
        <v>27</v>
      </c>
      <c r="B30" s="3" t="s">
        <v>323</v>
      </c>
      <c r="C30" s="3" t="s">
        <v>329</v>
      </c>
      <c r="D30" s="3" t="s">
        <v>193</v>
      </c>
      <c r="E30" s="3" t="s">
        <v>330</v>
      </c>
      <c r="F30" s="3" t="s">
        <v>171</v>
      </c>
      <c r="G30" s="16">
        <v>7.0000000000000007E-2</v>
      </c>
      <c r="H30" s="3" t="s">
        <v>193</v>
      </c>
      <c r="I30" s="3" t="s">
        <v>326</v>
      </c>
      <c r="J30" s="3" t="s">
        <v>263</v>
      </c>
      <c r="K30" s="3" t="s">
        <v>331</v>
      </c>
      <c r="L30" s="3" t="s">
        <v>332</v>
      </c>
    </row>
    <row r="31" spans="1:12" ht="42" customHeight="1">
      <c r="A31" s="3">
        <v>28</v>
      </c>
      <c r="B31" s="3" t="s">
        <v>323</v>
      </c>
      <c r="C31" s="3" t="s">
        <v>333</v>
      </c>
      <c r="D31" s="3" t="s">
        <v>193</v>
      </c>
      <c r="E31" s="3" t="s">
        <v>334</v>
      </c>
      <c r="F31" s="3" t="s">
        <v>172</v>
      </c>
      <c r="G31" s="16">
        <v>0.05</v>
      </c>
      <c r="H31" s="3" t="s">
        <v>225</v>
      </c>
      <c r="I31" s="3" t="s">
        <v>335</v>
      </c>
      <c r="J31" s="3" t="s">
        <v>336</v>
      </c>
      <c r="K31" s="3" t="s">
        <v>337</v>
      </c>
      <c r="L31" s="3" t="s">
        <v>338</v>
      </c>
    </row>
    <row r="32" spans="1:12" ht="27.95" customHeight="1">
      <c r="A32" s="3">
        <v>29</v>
      </c>
      <c r="B32" s="3" t="s">
        <v>323</v>
      </c>
      <c r="C32" s="3" t="s">
        <v>339</v>
      </c>
      <c r="D32" s="3" t="s">
        <v>193</v>
      </c>
      <c r="E32" s="3" t="s">
        <v>325</v>
      </c>
      <c r="F32" s="3" t="s">
        <v>172</v>
      </c>
      <c r="G32" s="16">
        <v>0.03</v>
      </c>
      <c r="H32" s="3" t="s">
        <v>262</v>
      </c>
      <c r="I32" s="3" t="s">
        <v>340</v>
      </c>
      <c r="J32" s="3" t="s">
        <v>263</v>
      </c>
      <c r="K32" s="3" t="s">
        <v>341</v>
      </c>
      <c r="L32" s="3" t="s">
        <v>342</v>
      </c>
    </row>
    <row r="33" spans="1:12" ht="27.95" customHeight="1">
      <c r="A33" s="3">
        <v>30</v>
      </c>
      <c r="B33" s="3" t="s">
        <v>323</v>
      </c>
      <c r="C33" s="3" t="s">
        <v>343</v>
      </c>
      <c r="D33" s="3" t="s">
        <v>193</v>
      </c>
      <c r="E33" s="3" t="s">
        <v>330</v>
      </c>
      <c r="F33" s="3" t="s">
        <v>171</v>
      </c>
      <c r="G33" s="16">
        <v>0.08</v>
      </c>
      <c r="H33" s="3" t="s">
        <v>225</v>
      </c>
      <c r="I33" s="3" t="s">
        <v>344</v>
      </c>
      <c r="J33" s="3" t="s">
        <v>263</v>
      </c>
      <c r="K33" s="3" t="s">
        <v>345</v>
      </c>
      <c r="L33" s="3" t="s">
        <v>346</v>
      </c>
    </row>
    <row r="34" spans="1:12" ht="69.95" customHeight="1">
      <c r="A34" s="3">
        <v>31</v>
      </c>
      <c r="B34" s="3" t="s">
        <v>323</v>
      </c>
      <c r="C34" s="3" t="s">
        <v>347</v>
      </c>
      <c r="D34" s="3" t="s">
        <v>193</v>
      </c>
      <c r="E34" s="3" t="s">
        <v>284</v>
      </c>
      <c r="F34" s="3" t="s">
        <v>170</v>
      </c>
      <c r="G34" s="16">
        <v>0.12</v>
      </c>
      <c r="H34" s="3" t="s">
        <v>193</v>
      </c>
      <c r="I34" s="3" t="s">
        <v>348</v>
      </c>
      <c r="J34" s="3" t="s">
        <v>349</v>
      </c>
      <c r="K34" s="3" t="s">
        <v>350</v>
      </c>
      <c r="L34" s="3" t="s">
        <v>351</v>
      </c>
    </row>
    <row r="35" spans="1:12" ht="56.1" customHeight="1">
      <c r="A35" s="3">
        <v>32</v>
      </c>
      <c r="B35" s="3" t="s">
        <v>323</v>
      </c>
      <c r="C35" s="3" t="s">
        <v>352</v>
      </c>
      <c r="D35" s="3" t="s">
        <v>193</v>
      </c>
      <c r="E35" s="3" t="s">
        <v>353</v>
      </c>
      <c r="F35" s="3" t="s">
        <v>170</v>
      </c>
      <c r="G35" s="16">
        <v>0.1</v>
      </c>
      <c r="H35" s="3" t="s">
        <v>193</v>
      </c>
      <c r="I35" s="3" t="s">
        <v>354</v>
      </c>
      <c r="J35" s="3" t="s">
        <v>355</v>
      </c>
      <c r="K35" s="3" t="s">
        <v>356</v>
      </c>
      <c r="L35" s="3" t="s">
        <v>357</v>
      </c>
    </row>
    <row r="36" spans="1:12" ht="69.95" customHeight="1">
      <c r="A36" s="3">
        <v>33</v>
      </c>
      <c r="B36" s="3" t="s">
        <v>323</v>
      </c>
      <c r="C36" s="3" t="s">
        <v>358</v>
      </c>
      <c r="D36" s="3" t="s">
        <v>193</v>
      </c>
      <c r="E36" s="3" t="s">
        <v>284</v>
      </c>
      <c r="F36" s="3" t="s">
        <v>170</v>
      </c>
      <c r="G36" s="16">
        <v>0.1</v>
      </c>
      <c r="H36" s="3" t="s">
        <v>193</v>
      </c>
      <c r="I36" s="3" t="s">
        <v>359</v>
      </c>
      <c r="J36" s="3" t="s">
        <v>360</v>
      </c>
      <c r="K36" s="3" t="s">
        <v>361</v>
      </c>
      <c r="L36" s="3" t="s">
        <v>362</v>
      </c>
    </row>
    <row r="37" spans="1:12" ht="69.95" customHeight="1">
      <c r="A37" s="3">
        <v>34</v>
      </c>
      <c r="B37" s="3" t="s">
        <v>323</v>
      </c>
      <c r="C37" s="3" t="s">
        <v>363</v>
      </c>
      <c r="D37" s="3" t="s">
        <v>193</v>
      </c>
      <c r="E37" s="3" t="s">
        <v>364</v>
      </c>
      <c r="F37" s="3" t="s">
        <v>170</v>
      </c>
      <c r="G37" s="16">
        <v>0.08</v>
      </c>
      <c r="H37" s="3" t="s">
        <v>193</v>
      </c>
      <c r="I37" s="3" t="s">
        <v>365</v>
      </c>
      <c r="J37" s="3" t="s">
        <v>366</v>
      </c>
      <c r="K37" s="3" t="s">
        <v>367</v>
      </c>
      <c r="L37" s="3" t="s">
        <v>368</v>
      </c>
    </row>
    <row r="38" spans="1:12" ht="27.95" customHeight="1">
      <c r="A38" s="3">
        <v>35</v>
      </c>
      <c r="B38" s="3" t="s">
        <v>323</v>
      </c>
      <c r="C38" s="3" t="s">
        <v>369</v>
      </c>
      <c r="D38" s="3" t="s">
        <v>193</v>
      </c>
      <c r="E38" s="3" t="s">
        <v>313</v>
      </c>
      <c r="F38" s="3" t="s">
        <v>170</v>
      </c>
      <c r="G38" s="16">
        <v>0.04</v>
      </c>
      <c r="H38" s="3" t="s">
        <v>193</v>
      </c>
      <c r="I38" s="3" t="s">
        <v>335</v>
      </c>
      <c r="J38" s="3" t="s">
        <v>263</v>
      </c>
      <c r="K38" s="3" t="s">
        <v>370</v>
      </c>
      <c r="L38" s="3" t="s">
        <v>371</v>
      </c>
    </row>
    <row r="39" spans="1:12" ht="27.95" customHeight="1">
      <c r="A39" s="3">
        <v>36</v>
      </c>
      <c r="B39" s="3" t="s">
        <v>323</v>
      </c>
      <c r="C39" s="3" t="s">
        <v>372</v>
      </c>
      <c r="D39" s="3" t="s">
        <v>193</v>
      </c>
      <c r="E39" s="3" t="s">
        <v>284</v>
      </c>
      <c r="F39" s="3" t="s">
        <v>170</v>
      </c>
      <c r="G39" s="16">
        <v>0.04</v>
      </c>
      <c r="H39" s="3" t="s">
        <v>225</v>
      </c>
      <c r="I39" s="3" t="s">
        <v>373</v>
      </c>
      <c r="J39" s="3" t="s">
        <v>374</v>
      </c>
      <c r="K39" s="3" t="s">
        <v>375</v>
      </c>
      <c r="L39" s="3" t="s">
        <v>376</v>
      </c>
    </row>
    <row r="40" spans="1:12" ht="42" customHeight="1">
      <c r="A40" s="3">
        <v>37</v>
      </c>
      <c r="B40" s="3" t="s">
        <v>323</v>
      </c>
      <c r="C40" s="3" t="s">
        <v>377</v>
      </c>
      <c r="D40" s="3" t="s">
        <v>193</v>
      </c>
      <c r="E40" s="3" t="s">
        <v>284</v>
      </c>
      <c r="F40" s="3" t="s">
        <v>170</v>
      </c>
      <c r="G40" s="16">
        <v>0.04</v>
      </c>
      <c r="H40" s="3" t="s">
        <v>193</v>
      </c>
      <c r="I40" s="3" t="s">
        <v>279</v>
      </c>
      <c r="J40" s="3" t="s">
        <v>378</v>
      </c>
      <c r="K40" s="3" t="s">
        <v>379</v>
      </c>
      <c r="L40" s="3" t="s">
        <v>380</v>
      </c>
    </row>
    <row r="41" spans="1:12" ht="27.95" customHeight="1">
      <c r="A41" s="3">
        <v>38</v>
      </c>
      <c r="B41" s="3" t="s">
        <v>323</v>
      </c>
      <c r="C41" s="3" t="s">
        <v>381</v>
      </c>
      <c r="D41" s="3" t="s">
        <v>193</v>
      </c>
      <c r="E41" s="3" t="s">
        <v>364</v>
      </c>
      <c r="F41" s="3" t="s">
        <v>170</v>
      </c>
      <c r="G41" s="16">
        <v>0.05</v>
      </c>
      <c r="H41" s="3" t="s">
        <v>193</v>
      </c>
      <c r="I41" s="3" t="s">
        <v>335</v>
      </c>
      <c r="J41" s="3" t="s">
        <v>263</v>
      </c>
      <c r="K41" s="3" t="s">
        <v>382</v>
      </c>
      <c r="L41" s="3" t="s">
        <v>383</v>
      </c>
    </row>
    <row r="42" spans="1:12" ht="27.95" customHeight="1">
      <c r="A42" s="3">
        <v>39</v>
      </c>
      <c r="B42" s="3" t="s">
        <v>323</v>
      </c>
      <c r="C42" s="3" t="s">
        <v>384</v>
      </c>
      <c r="D42" s="3" t="s">
        <v>193</v>
      </c>
      <c r="E42" s="3" t="s">
        <v>313</v>
      </c>
      <c r="F42" s="3" t="s">
        <v>170</v>
      </c>
      <c r="G42" s="16">
        <v>0.01</v>
      </c>
      <c r="H42" s="3" t="s">
        <v>193</v>
      </c>
      <c r="I42" s="3" t="s">
        <v>385</v>
      </c>
      <c r="J42" s="3" t="s">
        <v>263</v>
      </c>
      <c r="K42" s="3" t="s">
        <v>386</v>
      </c>
      <c r="L42" s="3" t="s">
        <v>387</v>
      </c>
    </row>
    <row r="43" spans="1:12" ht="27.95" customHeight="1">
      <c r="A43" s="3">
        <v>40</v>
      </c>
      <c r="B43" s="3" t="s">
        <v>323</v>
      </c>
      <c r="C43" s="3" t="s">
        <v>388</v>
      </c>
      <c r="D43" s="3" t="s">
        <v>193</v>
      </c>
      <c r="E43" s="3" t="s">
        <v>389</v>
      </c>
      <c r="F43" s="3" t="s">
        <v>170</v>
      </c>
      <c r="G43" s="16">
        <v>0.03</v>
      </c>
      <c r="H43" s="3" t="s">
        <v>225</v>
      </c>
      <c r="I43" s="3" t="s">
        <v>390</v>
      </c>
      <c r="J43" s="3" t="s">
        <v>263</v>
      </c>
      <c r="K43" s="3" t="s">
        <v>391</v>
      </c>
      <c r="L43" s="3" t="s">
        <v>392</v>
      </c>
    </row>
    <row r="44" spans="1:12" ht="27.95" customHeight="1">
      <c r="A44" s="3">
        <v>41</v>
      </c>
      <c r="B44" s="3" t="s">
        <v>323</v>
      </c>
      <c r="C44" s="3" t="s">
        <v>393</v>
      </c>
      <c r="D44" s="3" t="s">
        <v>193</v>
      </c>
      <c r="E44" s="3" t="s">
        <v>251</v>
      </c>
      <c r="F44" s="3" t="s">
        <v>171</v>
      </c>
      <c r="G44" s="16">
        <v>0.01</v>
      </c>
      <c r="H44" s="3" t="s">
        <v>225</v>
      </c>
      <c r="I44" s="3" t="s">
        <v>394</v>
      </c>
      <c r="J44" s="3" t="s">
        <v>395</v>
      </c>
      <c r="K44" s="3" t="s">
        <v>396</v>
      </c>
      <c r="L44" s="3" t="s">
        <v>397</v>
      </c>
    </row>
    <row r="45" spans="1:12" ht="27.95" customHeight="1">
      <c r="A45" s="3">
        <v>42</v>
      </c>
      <c r="B45" s="3" t="s">
        <v>323</v>
      </c>
      <c r="C45" s="3" t="s">
        <v>398</v>
      </c>
      <c r="D45" s="3" t="s">
        <v>193</v>
      </c>
      <c r="E45" s="3" t="s">
        <v>364</v>
      </c>
      <c r="F45" s="3" t="s">
        <v>170</v>
      </c>
      <c r="G45" s="16">
        <v>0.04</v>
      </c>
      <c r="H45" s="3" t="s">
        <v>193</v>
      </c>
      <c r="I45" s="3" t="s">
        <v>399</v>
      </c>
      <c r="J45" s="3" t="s">
        <v>400</v>
      </c>
      <c r="K45" s="3" t="s">
        <v>401</v>
      </c>
      <c r="L45" s="3" t="s">
        <v>402</v>
      </c>
    </row>
    <row r="46" spans="1:12" ht="27.95" customHeight="1">
      <c r="A46" s="56">
        <v>43</v>
      </c>
      <c r="B46" s="56" t="s">
        <v>323</v>
      </c>
      <c r="C46" s="56" t="s">
        <v>403</v>
      </c>
      <c r="D46" s="56" t="s">
        <v>193</v>
      </c>
      <c r="E46" s="58" t="s">
        <v>325</v>
      </c>
      <c r="F46" s="58" t="s">
        <v>172</v>
      </c>
      <c r="G46" s="57">
        <v>0.02</v>
      </c>
      <c r="H46" s="56" t="s">
        <v>193</v>
      </c>
      <c r="I46" s="56" t="s">
        <v>404</v>
      </c>
      <c r="J46" s="56" t="s">
        <v>263</v>
      </c>
      <c r="K46" s="56" t="s">
        <v>405</v>
      </c>
      <c r="L46" s="56" t="s">
        <v>406</v>
      </c>
    </row>
    <row r="47" spans="1:12" ht="27.95" customHeight="1">
      <c r="A47" s="54">
        <v>44</v>
      </c>
      <c r="B47" s="54" t="s">
        <v>323</v>
      </c>
      <c r="C47" s="54" t="s">
        <v>407</v>
      </c>
      <c r="D47" s="54" t="s">
        <v>262</v>
      </c>
      <c r="E47" s="54" t="s">
        <v>389</v>
      </c>
      <c r="F47" s="54" t="s">
        <v>170</v>
      </c>
      <c r="G47" s="55">
        <v>0.02</v>
      </c>
      <c r="H47" s="54" t="s">
        <v>262</v>
      </c>
      <c r="I47" s="54" t="s">
        <v>408</v>
      </c>
      <c r="J47" s="54" t="s">
        <v>263</v>
      </c>
      <c r="K47" s="54" t="s">
        <v>409</v>
      </c>
      <c r="L47" s="54" t="s">
        <v>410</v>
      </c>
    </row>
    <row r="48" spans="1:12" ht="42" customHeight="1">
      <c r="A48" s="3">
        <v>45</v>
      </c>
      <c r="B48" s="3" t="s">
        <v>323</v>
      </c>
      <c r="C48" s="3" t="s">
        <v>411</v>
      </c>
      <c r="D48" s="3" t="s">
        <v>193</v>
      </c>
      <c r="E48" s="3" t="s">
        <v>389</v>
      </c>
      <c r="F48" s="3" t="s">
        <v>170</v>
      </c>
      <c r="G48" s="16">
        <v>0.02</v>
      </c>
      <c r="H48" s="3" t="s">
        <v>193</v>
      </c>
      <c r="I48" s="3" t="s">
        <v>412</v>
      </c>
      <c r="J48" s="3" t="s">
        <v>413</v>
      </c>
      <c r="K48" s="3" t="s">
        <v>414</v>
      </c>
      <c r="L48" s="3" t="s">
        <v>415</v>
      </c>
    </row>
    <row r="49" spans="1:12" ht="27.95" customHeight="1">
      <c r="A49" s="3">
        <v>46</v>
      </c>
      <c r="B49" s="3" t="s">
        <v>416</v>
      </c>
      <c r="C49" s="3" t="s">
        <v>417</v>
      </c>
      <c r="D49" s="3" t="s">
        <v>193</v>
      </c>
      <c r="E49" s="3" t="s">
        <v>224</v>
      </c>
      <c r="F49" s="3" t="s">
        <v>173</v>
      </c>
      <c r="G49" s="16">
        <v>0.12</v>
      </c>
      <c r="H49" s="3" t="s">
        <v>225</v>
      </c>
      <c r="I49" s="3" t="s">
        <v>418</v>
      </c>
      <c r="J49" s="3" t="s">
        <v>419</v>
      </c>
      <c r="K49" s="3" t="s">
        <v>420</v>
      </c>
      <c r="L49" s="3" t="s">
        <v>421</v>
      </c>
    </row>
    <row r="50" spans="1:12" ht="27.95" customHeight="1">
      <c r="A50" s="17">
        <v>47</v>
      </c>
      <c r="B50" s="17" t="s">
        <v>416</v>
      </c>
      <c r="C50" s="17" t="s">
        <v>422</v>
      </c>
      <c r="D50" s="17" t="s">
        <v>262</v>
      </c>
      <c r="E50" s="18" t="s">
        <v>263</v>
      </c>
      <c r="F50" s="18" t="s">
        <v>263</v>
      </c>
      <c r="G50" s="19">
        <v>0.12</v>
      </c>
      <c r="H50" s="17" t="s">
        <v>262</v>
      </c>
      <c r="I50" s="17" t="s">
        <v>423</v>
      </c>
      <c r="J50" s="17" t="s">
        <v>263</v>
      </c>
      <c r="K50" s="17" t="s">
        <v>424</v>
      </c>
      <c r="L50" s="17" t="s">
        <v>425</v>
      </c>
    </row>
    <row r="51" spans="1:12" ht="27.95" customHeight="1">
      <c r="A51" s="17">
        <v>48</v>
      </c>
      <c r="B51" s="17" t="s">
        <v>416</v>
      </c>
      <c r="C51" s="17" t="s">
        <v>426</v>
      </c>
      <c r="D51" s="17" t="s">
        <v>262</v>
      </c>
      <c r="E51" s="18" t="s">
        <v>263</v>
      </c>
      <c r="F51" s="18" t="s">
        <v>263</v>
      </c>
      <c r="G51" s="19">
        <v>0.14000000000000001</v>
      </c>
      <c r="H51" s="17" t="s">
        <v>262</v>
      </c>
      <c r="I51" s="17" t="s">
        <v>423</v>
      </c>
      <c r="J51" s="17" t="s">
        <v>263</v>
      </c>
      <c r="K51" s="17" t="s">
        <v>427</v>
      </c>
      <c r="L51" s="17" t="s">
        <v>428</v>
      </c>
    </row>
    <row r="52" spans="1:12" ht="27.95" customHeight="1">
      <c r="A52" s="17">
        <v>49</v>
      </c>
      <c r="B52" s="17" t="s">
        <v>416</v>
      </c>
      <c r="C52" s="17" t="s">
        <v>429</v>
      </c>
      <c r="D52" s="17" t="s">
        <v>262</v>
      </c>
      <c r="E52" s="18" t="s">
        <v>263</v>
      </c>
      <c r="F52" s="18" t="s">
        <v>263</v>
      </c>
      <c r="G52" s="19">
        <v>0.1</v>
      </c>
      <c r="H52" s="17" t="s">
        <v>262</v>
      </c>
      <c r="I52" s="17" t="s">
        <v>423</v>
      </c>
      <c r="J52" s="17" t="s">
        <v>263</v>
      </c>
      <c r="K52" s="17" t="s">
        <v>430</v>
      </c>
      <c r="L52" s="17" t="s">
        <v>431</v>
      </c>
    </row>
    <row r="53" spans="1:12" ht="27.95" customHeight="1">
      <c r="A53" s="17">
        <v>50</v>
      </c>
      <c r="B53" s="17" t="s">
        <v>416</v>
      </c>
      <c r="C53" s="17" t="s">
        <v>432</v>
      </c>
      <c r="D53" s="17" t="s">
        <v>262</v>
      </c>
      <c r="E53" s="18" t="s">
        <v>263</v>
      </c>
      <c r="F53" s="18" t="s">
        <v>263</v>
      </c>
      <c r="G53" s="19">
        <v>0.1</v>
      </c>
      <c r="H53" s="17" t="s">
        <v>262</v>
      </c>
      <c r="I53" s="17" t="s">
        <v>433</v>
      </c>
      <c r="J53" s="17" t="s">
        <v>263</v>
      </c>
      <c r="K53" s="17" t="s">
        <v>434</v>
      </c>
      <c r="L53" s="17" t="s">
        <v>435</v>
      </c>
    </row>
    <row r="54" spans="1:12" ht="27.95" customHeight="1">
      <c r="A54" s="17">
        <v>51</v>
      </c>
      <c r="B54" s="17" t="s">
        <v>416</v>
      </c>
      <c r="C54" s="17" t="s">
        <v>436</v>
      </c>
      <c r="D54" s="17" t="s">
        <v>262</v>
      </c>
      <c r="E54" s="18" t="s">
        <v>263</v>
      </c>
      <c r="F54" s="18" t="s">
        <v>263</v>
      </c>
      <c r="G54" s="19">
        <v>0.1</v>
      </c>
      <c r="H54" s="17" t="s">
        <v>262</v>
      </c>
      <c r="I54" s="17" t="s">
        <v>433</v>
      </c>
      <c r="J54" s="17" t="s">
        <v>263</v>
      </c>
      <c r="K54" s="17" t="s">
        <v>437</v>
      </c>
      <c r="L54" s="17" t="s">
        <v>438</v>
      </c>
    </row>
    <row r="55" spans="1:12" ht="27.95" customHeight="1">
      <c r="A55" s="17">
        <v>52</v>
      </c>
      <c r="B55" s="17" t="s">
        <v>416</v>
      </c>
      <c r="C55" s="17" t="s">
        <v>439</v>
      </c>
      <c r="D55" s="17" t="s">
        <v>262</v>
      </c>
      <c r="E55" s="18" t="s">
        <v>263</v>
      </c>
      <c r="F55" s="18" t="s">
        <v>263</v>
      </c>
      <c r="G55" s="19">
        <v>0.08</v>
      </c>
      <c r="H55" s="17" t="s">
        <v>262</v>
      </c>
      <c r="I55" s="17" t="s">
        <v>433</v>
      </c>
      <c r="J55" s="17" t="s">
        <v>263</v>
      </c>
      <c r="K55" s="17" t="s">
        <v>440</v>
      </c>
      <c r="L55" s="17" t="s">
        <v>441</v>
      </c>
    </row>
    <row r="56" spans="1:12" ht="27.95" customHeight="1">
      <c r="A56" s="17">
        <v>53</v>
      </c>
      <c r="B56" s="17" t="s">
        <v>416</v>
      </c>
      <c r="C56" s="17" t="s">
        <v>442</v>
      </c>
      <c r="D56" s="17" t="s">
        <v>262</v>
      </c>
      <c r="E56" s="18" t="s">
        <v>263</v>
      </c>
      <c r="F56" s="18" t="s">
        <v>263</v>
      </c>
      <c r="G56" s="19">
        <v>0.08</v>
      </c>
      <c r="H56" s="17" t="s">
        <v>262</v>
      </c>
      <c r="I56" s="17" t="s">
        <v>433</v>
      </c>
      <c r="J56" s="17" t="s">
        <v>263</v>
      </c>
      <c r="K56" s="17" t="s">
        <v>443</v>
      </c>
      <c r="L56" s="17" t="s">
        <v>444</v>
      </c>
    </row>
    <row r="57" spans="1:12" ht="27.95" customHeight="1">
      <c r="A57" s="17">
        <v>54</v>
      </c>
      <c r="B57" s="17" t="s">
        <v>416</v>
      </c>
      <c r="C57" s="17" t="s">
        <v>445</v>
      </c>
      <c r="D57" s="17" t="s">
        <v>262</v>
      </c>
      <c r="E57" s="18" t="s">
        <v>263</v>
      </c>
      <c r="F57" s="18" t="s">
        <v>263</v>
      </c>
      <c r="G57" s="19">
        <v>0.1</v>
      </c>
      <c r="H57" s="17" t="s">
        <v>262</v>
      </c>
      <c r="I57" s="17" t="s">
        <v>433</v>
      </c>
      <c r="J57" s="17" t="s">
        <v>263</v>
      </c>
      <c r="K57" s="17" t="s">
        <v>446</v>
      </c>
      <c r="L57" s="17" t="s">
        <v>447</v>
      </c>
    </row>
    <row r="58" spans="1:12" ht="27.95" customHeight="1">
      <c r="A58" s="3">
        <v>55</v>
      </c>
      <c r="B58" s="3" t="s">
        <v>416</v>
      </c>
      <c r="C58" s="3" t="s">
        <v>448</v>
      </c>
      <c r="D58" s="3" t="s">
        <v>193</v>
      </c>
      <c r="E58" s="3" t="s">
        <v>449</v>
      </c>
      <c r="F58" s="3" t="s">
        <v>173</v>
      </c>
      <c r="G58" s="16">
        <v>0.06</v>
      </c>
      <c r="H58" s="3" t="s">
        <v>262</v>
      </c>
      <c r="I58" s="3" t="s">
        <v>433</v>
      </c>
      <c r="J58" s="3" t="s">
        <v>263</v>
      </c>
      <c r="K58" s="3" t="s">
        <v>450</v>
      </c>
      <c r="L58" s="3" t="s">
        <v>451</v>
      </c>
    </row>
    <row r="59" spans="1:12" ht="42" customHeight="1">
      <c r="A59" s="3">
        <v>56</v>
      </c>
      <c r="B59" s="3" t="s">
        <v>416</v>
      </c>
      <c r="C59" s="3" t="s">
        <v>452</v>
      </c>
      <c r="D59" s="3" t="s">
        <v>193</v>
      </c>
      <c r="E59" s="3" t="s">
        <v>449</v>
      </c>
      <c r="F59" s="3" t="s">
        <v>173</v>
      </c>
      <c r="G59" s="16">
        <v>0.05</v>
      </c>
      <c r="H59" s="3" t="s">
        <v>193</v>
      </c>
      <c r="I59" s="3" t="s">
        <v>453</v>
      </c>
      <c r="J59" s="3" t="s">
        <v>454</v>
      </c>
      <c r="K59" s="3" t="s">
        <v>455</v>
      </c>
      <c r="L59" s="3" t="s">
        <v>456</v>
      </c>
    </row>
    <row r="60" spans="1:12" ht="56.1" customHeight="1">
      <c r="A60" s="3">
        <v>57</v>
      </c>
      <c r="B60" s="3" t="s">
        <v>457</v>
      </c>
      <c r="C60" s="3" t="s">
        <v>458</v>
      </c>
      <c r="D60" s="3" t="s">
        <v>193</v>
      </c>
      <c r="E60" s="3" t="s">
        <v>353</v>
      </c>
      <c r="F60" s="3" t="s">
        <v>170</v>
      </c>
      <c r="G60" s="16">
        <v>0.2</v>
      </c>
      <c r="H60" s="3" t="s">
        <v>193</v>
      </c>
      <c r="I60" s="3" t="s">
        <v>354</v>
      </c>
      <c r="J60" s="3" t="s">
        <v>459</v>
      </c>
      <c r="K60" s="3" t="s">
        <v>460</v>
      </c>
      <c r="L60" s="3" t="s">
        <v>461</v>
      </c>
    </row>
    <row r="61" spans="1:12" ht="27.95" customHeight="1">
      <c r="A61" s="17">
        <v>58</v>
      </c>
      <c r="B61" s="17" t="s">
        <v>457</v>
      </c>
      <c r="C61" s="17" t="s">
        <v>462</v>
      </c>
      <c r="D61" s="17" t="s">
        <v>262</v>
      </c>
      <c r="E61" s="18" t="s">
        <v>263</v>
      </c>
      <c r="F61" s="18" t="s">
        <v>263</v>
      </c>
      <c r="G61" s="19">
        <v>0.1</v>
      </c>
      <c r="H61" s="17" t="s">
        <v>262</v>
      </c>
      <c r="I61" s="17" t="s">
        <v>423</v>
      </c>
      <c r="J61" s="17" t="s">
        <v>263</v>
      </c>
      <c r="K61" s="17" t="s">
        <v>463</v>
      </c>
      <c r="L61" s="17" t="s">
        <v>464</v>
      </c>
    </row>
    <row r="62" spans="1:12" ht="27.95" customHeight="1">
      <c r="A62" s="3">
        <v>59</v>
      </c>
      <c r="B62" s="3" t="s">
        <v>457</v>
      </c>
      <c r="C62" s="3" t="s">
        <v>465</v>
      </c>
      <c r="D62" s="3" t="s">
        <v>193</v>
      </c>
      <c r="E62" s="3" t="s">
        <v>278</v>
      </c>
      <c r="F62" s="3" t="s">
        <v>173</v>
      </c>
      <c r="G62" s="16">
        <v>0.15</v>
      </c>
      <c r="H62" s="3" t="s">
        <v>193</v>
      </c>
      <c r="I62" s="3" t="s">
        <v>335</v>
      </c>
      <c r="J62" s="3" t="s">
        <v>466</v>
      </c>
      <c r="K62" s="3" t="s">
        <v>467</v>
      </c>
      <c r="L62" s="3" t="s">
        <v>468</v>
      </c>
    </row>
    <row r="63" spans="1:12" ht="27.95" customHeight="1">
      <c r="A63" s="3">
        <v>60</v>
      </c>
      <c r="B63" s="3" t="s">
        <v>457</v>
      </c>
      <c r="C63" s="3" t="s">
        <v>469</v>
      </c>
      <c r="D63" s="3" t="s">
        <v>193</v>
      </c>
      <c r="E63" s="3" t="s">
        <v>278</v>
      </c>
      <c r="F63" s="3" t="s">
        <v>173</v>
      </c>
      <c r="G63" s="16">
        <v>0.15</v>
      </c>
      <c r="H63" s="3" t="s">
        <v>193</v>
      </c>
      <c r="I63" s="3" t="s">
        <v>470</v>
      </c>
      <c r="J63" s="3" t="s">
        <v>263</v>
      </c>
      <c r="K63" s="3" t="s">
        <v>471</v>
      </c>
      <c r="L63" s="3" t="s">
        <v>472</v>
      </c>
    </row>
    <row r="64" spans="1:12" ht="42" customHeight="1">
      <c r="A64" s="3">
        <v>61</v>
      </c>
      <c r="B64" s="3" t="s">
        <v>457</v>
      </c>
      <c r="C64" s="3" t="s">
        <v>473</v>
      </c>
      <c r="D64" s="3" t="s">
        <v>193</v>
      </c>
      <c r="E64" s="3" t="s">
        <v>334</v>
      </c>
      <c r="F64" s="3" t="s">
        <v>172</v>
      </c>
      <c r="G64" s="16">
        <v>0.15</v>
      </c>
      <c r="H64" s="3" t="s">
        <v>225</v>
      </c>
      <c r="I64" s="3" t="s">
        <v>336</v>
      </c>
      <c r="J64" s="3" t="s">
        <v>390</v>
      </c>
      <c r="K64" s="3" t="s">
        <v>474</v>
      </c>
      <c r="L64" s="3" t="s">
        <v>475</v>
      </c>
    </row>
    <row r="65" spans="1:12" ht="27.95" customHeight="1">
      <c r="A65" s="3">
        <v>62</v>
      </c>
      <c r="B65" s="3" t="s">
        <v>457</v>
      </c>
      <c r="C65" s="3" t="s">
        <v>476</v>
      </c>
      <c r="D65" s="3" t="s">
        <v>193</v>
      </c>
      <c r="E65" s="3" t="s">
        <v>477</v>
      </c>
      <c r="F65" s="3" t="s">
        <v>172</v>
      </c>
      <c r="G65" s="16">
        <v>0.1</v>
      </c>
      <c r="H65" s="3" t="s">
        <v>193</v>
      </c>
      <c r="I65" s="3" t="s">
        <v>335</v>
      </c>
      <c r="J65" s="3" t="s">
        <v>263</v>
      </c>
      <c r="K65" s="3" t="s">
        <v>478</v>
      </c>
      <c r="L65" s="3" t="s">
        <v>479</v>
      </c>
    </row>
    <row r="66" spans="1:12" ht="27.95" customHeight="1">
      <c r="A66" s="3">
        <v>63</v>
      </c>
      <c r="B66" s="3" t="s">
        <v>457</v>
      </c>
      <c r="C66" s="3" t="s">
        <v>480</v>
      </c>
      <c r="D66" s="3" t="s">
        <v>193</v>
      </c>
      <c r="E66" s="3" t="s">
        <v>278</v>
      </c>
      <c r="F66" s="3" t="s">
        <v>173</v>
      </c>
      <c r="G66" s="16">
        <v>0.1</v>
      </c>
      <c r="H66" s="3" t="s">
        <v>225</v>
      </c>
      <c r="I66" s="3" t="s">
        <v>481</v>
      </c>
      <c r="J66" s="3" t="s">
        <v>263</v>
      </c>
      <c r="K66" s="3" t="s">
        <v>482</v>
      </c>
      <c r="L66" s="3" t="s">
        <v>483</v>
      </c>
    </row>
    <row r="67" spans="1:12" ht="27.95" customHeight="1">
      <c r="A67" s="3">
        <v>64</v>
      </c>
      <c r="B67" s="3" t="s">
        <v>457</v>
      </c>
      <c r="C67" s="3" t="s">
        <v>484</v>
      </c>
      <c r="D67" s="3" t="s">
        <v>193</v>
      </c>
      <c r="E67" s="3" t="s">
        <v>278</v>
      </c>
      <c r="F67" s="3" t="s">
        <v>173</v>
      </c>
      <c r="G67" s="16">
        <v>0.05</v>
      </c>
      <c r="H67" s="3" t="s">
        <v>193</v>
      </c>
      <c r="I67" s="3" t="s">
        <v>335</v>
      </c>
      <c r="J67" s="3" t="s">
        <v>263</v>
      </c>
      <c r="K67" s="3" t="s">
        <v>485</v>
      </c>
      <c r="L67" s="3" t="s">
        <v>486</v>
      </c>
    </row>
    <row r="68" spans="1:12" ht="42" customHeight="1">
      <c r="A68" s="3">
        <v>65</v>
      </c>
      <c r="B68" s="3" t="s">
        <v>457</v>
      </c>
      <c r="C68" s="3" t="s">
        <v>487</v>
      </c>
      <c r="D68" s="3" t="s">
        <v>193</v>
      </c>
      <c r="E68" s="3" t="s">
        <v>278</v>
      </c>
      <c r="F68" s="3" t="s">
        <v>173</v>
      </c>
      <c r="G68" s="16">
        <v>0.05</v>
      </c>
      <c r="H68" s="3" t="s">
        <v>193</v>
      </c>
      <c r="I68" s="3" t="s">
        <v>488</v>
      </c>
      <c r="J68" s="3" t="s">
        <v>489</v>
      </c>
      <c r="K68" s="3" t="s">
        <v>490</v>
      </c>
      <c r="L68" s="3" t="s">
        <v>491</v>
      </c>
    </row>
    <row r="69" spans="1:12" ht="69.95" customHeight="1">
      <c r="A69" s="3">
        <v>66</v>
      </c>
      <c r="B69" s="3" t="s">
        <v>492</v>
      </c>
      <c r="C69" s="3" t="s">
        <v>493</v>
      </c>
      <c r="D69" s="3" t="s">
        <v>193</v>
      </c>
      <c r="E69" s="3" t="s">
        <v>231</v>
      </c>
      <c r="F69" s="3" t="s">
        <v>171</v>
      </c>
      <c r="G69" s="16">
        <v>0.35</v>
      </c>
      <c r="H69" s="3" t="s">
        <v>193</v>
      </c>
      <c r="I69" s="3" t="s">
        <v>494</v>
      </c>
      <c r="J69" s="3" t="s">
        <v>495</v>
      </c>
      <c r="K69" s="3" t="s">
        <v>496</v>
      </c>
      <c r="L69" s="3" t="s">
        <v>497</v>
      </c>
    </row>
    <row r="70" spans="1:12" ht="27.95" customHeight="1">
      <c r="A70" s="3">
        <v>67</v>
      </c>
      <c r="B70" s="3" t="s">
        <v>492</v>
      </c>
      <c r="C70" s="3" t="s">
        <v>498</v>
      </c>
      <c r="D70" s="3" t="s">
        <v>193</v>
      </c>
      <c r="E70" s="3" t="s">
        <v>313</v>
      </c>
      <c r="F70" s="3" t="s">
        <v>170</v>
      </c>
      <c r="G70" s="16">
        <v>0.2</v>
      </c>
      <c r="H70" s="3" t="s">
        <v>193</v>
      </c>
      <c r="I70" s="3" t="s">
        <v>335</v>
      </c>
      <c r="J70" s="3" t="s">
        <v>263</v>
      </c>
      <c r="K70" s="3" t="s">
        <v>499</v>
      </c>
      <c r="L70" s="3" t="s">
        <v>500</v>
      </c>
    </row>
    <row r="71" spans="1:12" ht="27.95" customHeight="1">
      <c r="A71" s="3">
        <v>68</v>
      </c>
      <c r="B71" s="3" t="s">
        <v>492</v>
      </c>
      <c r="C71" s="3" t="s">
        <v>501</v>
      </c>
      <c r="D71" s="3" t="s">
        <v>193</v>
      </c>
      <c r="E71" s="3" t="s">
        <v>313</v>
      </c>
      <c r="F71" s="3" t="s">
        <v>170</v>
      </c>
      <c r="G71" s="16">
        <v>0.25</v>
      </c>
      <c r="H71" s="3" t="s">
        <v>193</v>
      </c>
      <c r="I71" s="3" t="s">
        <v>502</v>
      </c>
      <c r="J71" s="3" t="s">
        <v>263</v>
      </c>
      <c r="K71" s="3" t="s">
        <v>503</v>
      </c>
      <c r="L71" s="3" t="s">
        <v>504</v>
      </c>
    </row>
  </sheetData>
  <autoFilter ref="A3:L71" xr:uid="{00000000-0009-0000-0000-000002000000}"/>
  <mergeCells count="1">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P71"/>
  <sheetViews>
    <sheetView workbookViewId="0">
      <pane xSplit="3" ySplit="3" topLeftCell="K34" activePane="bottomRight" state="frozen"/>
      <selection pane="bottomRight" activeCell="A47" sqref="A47:XFD47"/>
      <selection pane="bottomLeft"/>
      <selection pane="topRight"/>
    </sheetView>
  </sheetViews>
  <sheetFormatPr defaultColWidth="8.85546875" defaultRowHeight="15"/>
  <cols>
    <col min="1" max="1" width="6" customWidth="1"/>
    <col min="2" max="2" width="18" customWidth="1"/>
    <col min="3" max="3" width="42" customWidth="1"/>
    <col min="4" max="4" width="10" customWidth="1"/>
    <col min="5" max="5" width="36" customWidth="1"/>
    <col min="6" max="6" width="30" customWidth="1"/>
    <col min="7" max="7" width="10" customWidth="1"/>
    <col min="8" max="8" width="13" customWidth="1"/>
    <col min="9" max="10" width="38" customWidth="1"/>
    <col min="11" max="11" width="60" customWidth="1"/>
    <col min="12" max="12" width="16.140625" style="41" customWidth="1"/>
    <col min="13" max="15" width="60" customWidth="1"/>
    <col min="16" max="16" width="50" customWidth="1"/>
  </cols>
  <sheetData>
    <row r="1" spans="1:16" ht="27.95" customHeight="1">
      <c r="A1" s="80" t="s">
        <v>505</v>
      </c>
      <c r="B1" s="81"/>
      <c r="C1" s="81"/>
      <c r="D1" s="81"/>
      <c r="E1" s="81"/>
      <c r="F1" s="81"/>
      <c r="G1" s="81"/>
      <c r="H1" s="81"/>
      <c r="I1" s="81"/>
      <c r="J1" s="81"/>
      <c r="K1" s="81"/>
      <c r="L1" s="79"/>
      <c r="M1" s="81"/>
      <c r="N1" s="81"/>
      <c r="O1" s="81"/>
      <c r="P1" s="81"/>
    </row>
    <row r="3" spans="1:16">
      <c r="A3" s="9" t="s">
        <v>179</v>
      </c>
      <c r="B3" s="9" t="s">
        <v>180</v>
      </c>
      <c r="C3" s="9" t="s">
        <v>181</v>
      </c>
      <c r="D3" s="9" t="s">
        <v>182</v>
      </c>
      <c r="E3" s="9" t="s">
        <v>183</v>
      </c>
      <c r="F3" s="9" t="s">
        <v>184</v>
      </c>
      <c r="G3" s="9" t="s">
        <v>185</v>
      </c>
      <c r="H3" s="9" t="s">
        <v>186</v>
      </c>
      <c r="I3" s="9" t="s">
        <v>187</v>
      </c>
      <c r="J3" s="9" t="s">
        <v>188</v>
      </c>
      <c r="K3" s="9" t="s">
        <v>189</v>
      </c>
      <c r="L3" s="40" t="s">
        <v>506</v>
      </c>
      <c r="M3" s="38" t="s">
        <v>507</v>
      </c>
      <c r="N3" s="38" t="s">
        <v>508</v>
      </c>
      <c r="O3" s="38" t="s">
        <v>509</v>
      </c>
      <c r="P3" s="9" t="s">
        <v>190</v>
      </c>
    </row>
    <row r="4" spans="1:16" ht="249.95" customHeight="1">
      <c r="A4" s="45">
        <v>1</v>
      </c>
      <c r="B4" s="45" t="s">
        <v>191</v>
      </c>
      <c r="C4" s="45" t="s">
        <v>192</v>
      </c>
      <c r="D4" s="45" t="s">
        <v>193</v>
      </c>
      <c r="E4" s="45" t="s">
        <v>194</v>
      </c>
      <c r="F4" s="45" t="s">
        <v>171</v>
      </c>
      <c r="G4" s="60">
        <v>0.05</v>
      </c>
      <c r="H4" s="45" t="s">
        <v>193</v>
      </c>
      <c r="I4" s="45" t="s">
        <v>510</v>
      </c>
      <c r="J4" s="45" t="s">
        <v>511</v>
      </c>
      <c r="K4" s="45" t="s">
        <v>197</v>
      </c>
      <c r="L4" s="61">
        <v>42</v>
      </c>
      <c r="M4" s="52" t="s">
        <v>512</v>
      </c>
      <c r="N4" s="46" t="s">
        <v>513</v>
      </c>
      <c r="O4" s="46" t="s">
        <v>514</v>
      </c>
      <c r="P4" s="50" t="s">
        <v>198</v>
      </c>
    </row>
    <row r="5" spans="1:16" ht="249.95" customHeight="1">
      <c r="A5" s="45">
        <v>2</v>
      </c>
      <c r="B5" s="45" t="s">
        <v>191</v>
      </c>
      <c r="C5" s="45" t="s">
        <v>199</v>
      </c>
      <c r="D5" s="45" t="s">
        <v>193</v>
      </c>
      <c r="E5" s="45" t="s">
        <v>194</v>
      </c>
      <c r="F5" s="45" t="s">
        <v>171</v>
      </c>
      <c r="G5" s="60">
        <v>0.08</v>
      </c>
      <c r="H5" s="45" t="s">
        <v>193</v>
      </c>
      <c r="I5" s="45" t="s">
        <v>515</v>
      </c>
      <c r="J5" s="45" t="s">
        <v>516</v>
      </c>
      <c r="K5" s="45" t="s">
        <v>202</v>
      </c>
      <c r="L5" s="62">
        <v>24</v>
      </c>
      <c r="M5" s="52" t="s">
        <v>517</v>
      </c>
      <c r="N5" s="46" t="s">
        <v>518</v>
      </c>
      <c r="O5" s="46" t="s">
        <v>519</v>
      </c>
      <c r="P5" s="50" t="s">
        <v>203</v>
      </c>
    </row>
    <row r="6" spans="1:16" ht="249.95" customHeight="1">
      <c r="A6" s="45">
        <v>3</v>
      </c>
      <c r="B6" s="45" t="s">
        <v>191</v>
      </c>
      <c r="C6" s="45" t="s">
        <v>204</v>
      </c>
      <c r="D6" s="45" t="s">
        <v>193</v>
      </c>
      <c r="E6" s="45" t="s">
        <v>194</v>
      </c>
      <c r="F6" s="45" t="s">
        <v>171</v>
      </c>
      <c r="G6" s="60">
        <v>0.04</v>
      </c>
      <c r="H6" s="45" t="s">
        <v>193</v>
      </c>
      <c r="I6" s="45" t="s">
        <v>520</v>
      </c>
      <c r="J6" s="45" t="s">
        <v>521</v>
      </c>
      <c r="K6" s="45" t="s">
        <v>207</v>
      </c>
      <c r="L6" s="63">
        <v>84</v>
      </c>
      <c r="M6" s="52" t="s">
        <v>522</v>
      </c>
      <c r="N6" s="46" t="s">
        <v>523</v>
      </c>
      <c r="O6" s="46" t="s">
        <v>524</v>
      </c>
      <c r="P6" s="50" t="s">
        <v>208</v>
      </c>
    </row>
    <row r="7" spans="1:16" ht="249.95" customHeight="1">
      <c r="A7" s="45">
        <v>4</v>
      </c>
      <c r="B7" s="45" t="s">
        <v>191</v>
      </c>
      <c r="C7" s="45" t="s">
        <v>209</v>
      </c>
      <c r="D7" s="45" t="s">
        <v>193</v>
      </c>
      <c r="E7" s="45" t="s">
        <v>194</v>
      </c>
      <c r="F7" s="45" t="s">
        <v>171</v>
      </c>
      <c r="G7" s="60">
        <v>0.06</v>
      </c>
      <c r="H7" s="45" t="s">
        <v>193</v>
      </c>
      <c r="I7" s="45" t="s">
        <v>525</v>
      </c>
      <c r="J7" s="45" t="s">
        <v>526</v>
      </c>
      <c r="K7" s="45" t="s">
        <v>212</v>
      </c>
      <c r="L7" s="63">
        <v>86</v>
      </c>
      <c r="M7" s="52" t="s">
        <v>527</v>
      </c>
      <c r="N7" s="46" t="s">
        <v>528</v>
      </c>
      <c r="O7" s="46" t="s">
        <v>529</v>
      </c>
      <c r="P7" s="50" t="s">
        <v>213</v>
      </c>
    </row>
    <row r="8" spans="1:16" ht="249.95" customHeight="1">
      <c r="A8" s="45">
        <v>5</v>
      </c>
      <c r="B8" s="45" t="s">
        <v>191</v>
      </c>
      <c r="C8" s="45" t="s">
        <v>214</v>
      </c>
      <c r="D8" s="45" t="s">
        <v>193</v>
      </c>
      <c r="E8" s="45" t="s">
        <v>194</v>
      </c>
      <c r="F8" s="45" t="s">
        <v>171</v>
      </c>
      <c r="G8" s="60">
        <v>0.03</v>
      </c>
      <c r="H8" s="45" t="s">
        <v>193</v>
      </c>
      <c r="I8" s="45" t="s">
        <v>530</v>
      </c>
      <c r="J8" s="45" t="s">
        <v>531</v>
      </c>
      <c r="K8" s="45" t="s">
        <v>217</v>
      </c>
      <c r="L8" s="63">
        <v>95</v>
      </c>
      <c r="M8" s="52" t="s">
        <v>532</v>
      </c>
      <c r="N8" s="46" t="s">
        <v>533</v>
      </c>
      <c r="O8" s="46" t="s">
        <v>534</v>
      </c>
      <c r="P8" s="50" t="s">
        <v>218</v>
      </c>
    </row>
    <row r="9" spans="1:16" ht="249.95" customHeight="1">
      <c r="A9" s="45">
        <v>6</v>
      </c>
      <c r="B9" s="45" t="s">
        <v>191</v>
      </c>
      <c r="C9" s="45" t="s">
        <v>219</v>
      </c>
      <c r="D9" s="45" t="s">
        <v>193</v>
      </c>
      <c r="E9" s="45" t="s">
        <v>194</v>
      </c>
      <c r="F9" s="45" t="s">
        <v>171</v>
      </c>
      <c r="G9" s="60">
        <v>0.04</v>
      </c>
      <c r="H9" s="45" t="s">
        <v>193</v>
      </c>
      <c r="I9" s="45" t="s">
        <v>535</v>
      </c>
      <c r="J9" s="45" t="s">
        <v>531</v>
      </c>
      <c r="K9" s="45" t="s">
        <v>221</v>
      </c>
      <c r="L9" s="62">
        <v>22</v>
      </c>
      <c r="M9" s="52" t="s">
        <v>536</v>
      </c>
      <c r="N9" s="46" t="s">
        <v>537</v>
      </c>
      <c r="O9" s="46" t="s">
        <v>538</v>
      </c>
      <c r="P9" s="50" t="s">
        <v>222</v>
      </c>
    </row>
    <row r="10" spans="1:16" ht="249.95" customHeight="1">
      <c r="A10" s="45">
        <v>7</v>
      </c>
      <c r="B10" s="45" t="s">
        <v>191</v>
      </c>
      <c r="C10" s="45" t="s">
        <v>223</v>
      </c>
      <c r="D10" s="45" t="s">
        <v>193</v>
      </c>
      <c r="E10" s="45" t="s">
        <v>224</v>
      </c>
      <c r="F10" s="45" t="s">
        <v>173</v>
      </c>
      <c r="G10" s="60">
        <v>0.05</v>
      </c>
      <c r="H10" s="45" t="s">
        <v>225</v>
      </c>
      <c r="I10" s="45" t="s">
        <v>539</v>
      </c>
      <c r="J10" s="45" t="s">
        <v>540</v>
      </c>
      <c r="K10" s="45" t="s">
        <v>228</v>
      </c>
      <c r="L10" s="64">
        <v>64</v>
      </c>
      <c r="M10" s="52" t="s">
        <v>541</v>
      </c>
      <c r="N10" s="46" t="s">
        <v>542</v>
      </c>
      <c r="O10" s="46" t="s">
        <v>543</v>
      </c>
      <c r="P10" s="50" t="s">
        <v>229</v>
      </c>
    </row>
    <row r="11" spans="1:16" ht="297" customHeight="1">
      <c r="A11" s="45">
        <v>8</v>
      </c>
      <c r="B11" s="45" t="s">
        <v>191</v>
      </c>
      <c r="C11" s="45" t="s">
        <v>230</v>
      </c>
      <c r="D11" s="45" t="s">
        <v>193</v>
      </c>
      <c r="E11" s="45" t="s">
        <v>231</v>
      </c>
      <c r="F11" s="45" t="s">
        <v>171</v>
      </c>
      <c r="G11" s="60">
        <v>7.0000000000000007E-2</v>
      </c>
      <c r="H11" s="45" t="s">
        <v>225</v>
      </c>
      <c r="I11" s="45" t="s">
        <v>232</v>
      </c>
      <c r="J11" s="45" t="s">
        <v>544</v>
      </c>
      <c r="K11" s="45" t="s">
        <v>234</v>
      </c>
      <c r="L11" s="64">
        <v>68</v>
      </c>
      <c r="M11" s="52" t="s">
        <v>545</v>
      </c>
      <c r="N11" s="46" t="s">
        <v>546</v>
      </c>
      <c r="O11" s="46" t="s">
        <v>547</v>
      </c>
      <c r="P11" s="50" t="s">
        <v>548</v>
      </c>
    </row>
    <row r="12" spans="1:16" ht="249.95" customHeight="1">
      <c r="A12" s="53">
        <v>9</v>
      </c>
      <c r="B12" s="53" t="s">
        <v>191</v>
      </c>
      <c r="C12" s="53" t="s">
        <v>236</v>
      </c>
      <c r="D12" s="53" t="s">
        <v>193</v>
      </c>
      <c r="E12" s="53" t="s">
        <v>231</v>
      </c>
      <c r="F12" s="53" t="s">
        <v>171</v>
      </c>
      <c r="G12" s="65"/>
      <c r="H12" s="53" t="s">
        <v>225</v>
      </c>
      <c r="I12" s="53" t="s">
        <v>549</v>
      </c>
      <c r="J12" s="53" t="s">
        <v>550</v>
      </c>
      <c r="K12" s="53" t="s">
        <v>238</v>
      </c>
      <c r="L12" s="66"/>
      <c r="M12" s="67" t="s">
        <v>551</v>
      </c>
      <c r="N12" s="67" t="s">
        <v>552</v>
      </c>
      <c r="O12" s="67" t="s">
        <v>553</v>
      </c>
      <c r="P12" s="50" t="s">
        <v>239</v>
      </c>
    </row>
    <row r="13" spans="1:16" ht="249.95" customHeight="1">
      <c r="A13" s="45">
        <v>10</v>
      </c>
      <c r="B13" s="45" t="s">
        <v>191</v>
      </c>
      <c r="C13" s="45" t="s">
        <v>240</v>
      </c>
      <c r="D13" s="45" t="s">
        <v>193</v>
      </c>
      <c r="E13" s="45" t="s">
        <v>241</v>
      </c>
      <c r="F13" s="45" t="s">
        <v>173</v>
      </c>
      <c r="G13" s="60">
        <v>0.06</v>
      </c>
      <c r="H13" s="45" t="s">
        <v>225</v>
      </c>
      <c r="I13" s="45" t="s">
        <v>554</v>
      </c>
      <c r="J13" s="45" t="s">
        <v>555</v>
      </c>
      <c r="K13" s="45" t="s">
        <v>244</v>
      </c>
      <c r="L13" s="61">
        <v>56</v>
      </c>
      <c r="M13" s="52" t="s">
        <v>556</v>
      </c>
      <c r="N13" s="46" t="s">
        <v>557</v>
      </c>
      <c r="O13" s="46" t="s">
        <v>558</v>
      </c>
      <c r="P13" s="50" t="s">
        <v>245</v>
      </c>
    </row>
    <row r="14" spans="1:16" ht="249.95" customHeight="1">
      <c r="A14" s="45">
        <v>11</v>
      </c>
      <c r="B14" s="45" t="s">
        <v>191</v>
      </c>
      <c r="C14" s="45" t="s">
        <v>246</v>
      </c>
      <c r="D14" s="45" t="s">
        <v>193</v>
      </c>
      <c r="E14" s="45" t="s">
        <v>231</v>
      </c>
      <c r="F14" s="45" t="s">
        <v>171</v>
      </c>
      <c r="G14" s="60">
        <v>0.05</v>
      </c>
      <c r="H14" s="45" t="s">
        <v>193</v>
      </c>
      <c r="I14" s="45" t="s">
        <v>559</v>
      </c>
      <c r="J14" s="45" t="s">
        <v>560</v>
      </c>
      <c r="K14" s="45" t="s">
        <v>248</v>
      </c>
      <c r="L14" s="61">
        <v>54</v>
      </c>
      <c r="M14" s="52" t="s">
        <v>561</v>
      </c>
      <c r="N14" s="46" t="s">
        <v>562</v>
      </c>
      <c r="O14" s="46" t="s">
        <v>563</v>
      </c>
      <c r="P14" s="50" t="s">
        <v>249</v>
      </c>
    </row>
    <row r="15" spans="1:16" ht="279" customHeight="1">
      <c r="A15" s="45">
        <v>12</v>
      </c>
      <c r="B15" s="45" t="s">
        <v>191</v>
      </c>
      <c r="C15" s="45" t="s">
        <v>250</v>
      </c>
      <c r="D15" s="45" t="s">
        <v>193</v>
      </c>
      <c r="E15" s="45" t="s">
        <v>251</v>
      </c>
      <c r="F15" s="45" t="s">
        <v>171</v>
      </c>
      <c r="G15" s="60">
        <v>0.08</v>
      </c>
      <c r="H15" s="45" t="s">
        <v>193</v>
      </c>
      <c r="I15" s="45" t="s">
        <v>564</v>
      </c>
      <c r="J15" s="45" t="s">
        <v>565</v>
      </c>
      <c r="K15" s="45" t="s">
        <v>254</v>
      </c>
      <c r="L15" s="64">
        <v>68</v>
      </c>
      <c r="M15" s="52" t="s">
        <v>566</v>
      </c>
      <c r="N15" s="46" t="s">
        <v>567</v>
      </c>
      <c r="O15" s="46" t="s">
        <v>568</v>
      </c>
      <c r="P15" s="50" t="s">
        <v>255</v>
      </c>
    </row>
    <row r="16" spans="1:16" ht="284.10000000000002" customHeight="1">
      <c r="A16" s="45">
        <v>13</v>
      </c>
      <c r="B16" s="45" t="s">
        <v>191</v>
      </c>
      <c r="C16" s="45" t="s">
        <v>256</v>
      </c>
      <c r="D16" s="45" t="s">
        <v>193</v>
      </c>
      <c r="E16" s="45" t="s">
        <v>241</v>
      </c>
      <c r="F16" s="45" t="s">
        <v>173</v>
      </c>
      <c r="G16" s="60">
        <v>0.06</v>
      </c>
      <c r="H16" s="45" t="s">
        <v>225</v>
      </c>
      <c r="I16" s="45" t="s">
        <v>569</v>
      </c>
      <c r="J16" s="45" t="s">
        <v>570</v>
      </c>
      <c r="K16" s="45" t="s">
        <v>259</v>
      </c>
      <c r="L16" s="64">
        <v>66</v>
      </c>
      <c r="M16" s="52" t="s">
        <v>571</v>
      </c>
      <c r="N16" s="46" t="s">
        <v>572</v>
      </c>
      <c r="O16" s="46" t="s">
        <v>573</v>
      </c>
      <c r="P16" s="50" t="s">
        <v>260</v>
      </c>
    </row>
    <row r="17" spans="1:16" ht="249.95" customHeight="1">
      <c r="A17" s="53">
        <v>14</v>
      </c>
      <c r="B17" s="53" t="s">
        <v>191</v>
      </c>
      <c r="C17" s="53" t="s">
        <v>261</v>
      </c>
      <c r="D17" s="53" t="s">
        <v>262</v>
      </c>
      <c r="E17" s="53" t="s">
        <v>263</v>
      </c>
      <c r="F17" s="53" t="s">
        <v>263</v>
      </c>
      <c r="G17" s="65">
        <v>0.04</v>
      </c>
      <c r="H17" s="53" t="s">
        <v>225</v>
      </c>
      <c r="I17" s="53" t="s">
        <v>574</v>
      </c>
      <c r="J17" s="53" t="s">
        <v>575</v>
      </c>
      <c r="K17" s="53" t="s">
        <v>265</v>
      </c>
      <c r="L17" s="66"/>
      <c r="M17" s="67" t="s">
        <v>576</v>
      </c>
      <c r="N17" s="67" t="s">
        <v>577</v>
      </c>
      <c r="O17" s="67" t="s">
        <v>578</v>
      </c>
      <c r="P17" s="51" t="s">
        <v>266</v>
      </c>
    </row>
    <row r="18" spans="1:16" ht="249.95" customHeight="1">
      <c r="A18" s="53">
        <v>15</v>
      </c>
      <c r="B18" s="53" t="s">
        <v>191</v>
      </c>
      <c r="C18" s="53" t="s">
        <v>267</v>
      </c>
      <c r="D18" s="53" t="s">
        <v>262</v>
      </c>
      <c r="E18" s="53" t="s">
        <v>263</v>
      </c>
      <c r="F18" s="53" t="s">
        <v>263</v>
      </c>
      <c r="G18" s="65">
        <v>0.05</v>
      </c>
      <c r="H18" s="53" t="s">
        <v>225</v>
      </c>
      <c r="I18" s="53" t="s">
        <v>579</v>
      </c>
      <c r="J18" s="53" t="s">
        <v>580</v>
      </c>
      <c r="K18" s="53" t="s">
        <v>270</v>
      </c>
      <c r="L18" s="66"/>
      <c r="M18" s="67" t="s">
        <v>581</v>
      </c>
      <c r="N18" s="67" t="s">
        <v>582</v>
      </c>
      <c r="O18" s="67" t="s">
        <v>583</v>
      </c>
      <c r="P18" s="51" t="s">
        <v>271</v>
      </c>
    </row>
    <row r="19" spans="1:16" ht="249.95" customHeight="1">
      <c r="A19" s="45">
        <v>16</v>
      </c>
      <c r="B19" s="45" t="s">
        <v>191</v>
      </c>
      <c r="C19" s="45" t="s">
        <v>272</v>
      </c>
      <c r="D19" s="45" t="s">
        <v>193</v>
      </c>
      <c r="E19" s="45" t="s">
        <v>273</v>
      </c>
      <c r="F19" s="45" t="s">
        <v>173</v>
      </c>
      <c r="G19" s="60">
        <v>0.05</v>
      </c>
      <c r="H19" s="45" t="s">
        <v>225</v>
      </c>
      <c r="I19" s="45" t="s">
        <v>584</v>
      </c>
      <c r="J19" s="45" t="s">
        <v>585</v>
      </c>
      <c r="K19" s="45" t="s">
        <v>275</v>
      </c>
      <c r="L19" s="64">
        <v>62</v>
      </c>
      <c r="M19" s="52" t="s">
        <v>586</v>
      </c>
      <c r="N19" s="46" t="s">
        <v>587</v>
      </c>
      <c r="O19" s="46" t="s">
        <v>588</v>
      </c>
      <c r="P19" s="50" t="s">
        <v>276</v>
      </c>
    </row>
    <row r="20" spans="1:16" ht="320.10000000000002" customHeight="1">
      <c r="A20" s="45">
        <v>17</v>
      </c>
      <c r="B20" s="45" t="s">
        <v>191</v>
      </c>
      <c r="C20" s="45" t="s">
        <v>277</v>
      </c>
      <c r="D20" s="45" t="s">
        <v>193</v>
      </c>
      <c r="E20" s="45" t="s">
        <v>278</v>
      </c>
      <c r="F20" s="45" t="s">
        <v>173</v>
      </c>
      <c r="G20" s="60">
        <v>0.03</v>
      </c>
      <c r="H20" s="45" t="s">
        <v>193</v>
      </c>
      <c r="I20" s="45" t="s">
        <v>589</v>
      </c>
      <c r="J20" s="45" t="s">
        <v>590</v>
      </c>
      <c r="K20" s="45" t="s">
        <v>281</v>
      </c>
      <c r="L20" s="61">
        <v>54</v>
      </c>
      <c r="M20" s="52" t="s">
        <v>591</v>
      </c>
      <c r="N20" s="46" t="s">
        <v>592</v>
      </c>
      <c r="O20" s="46" t="s">
        <v>593</v>
      </c>
      <c r="P20" s="50" t="s">
        <v>282</v>
      </c>
    </row>
    <row r="21" spans="1:16" ht="302.10000000000002" customHeight="1">
      <c r="A21" s="45">
        <v>18</v>
      </c>
      <c r="B21" s="45" t="s">
        <v>191</v>
      </c>
      <c r="C21" s="45" t="s">
        <v>283</v>
      </c>
      <c r="D21" s="45" t="s">
        <v>193</v>
      </c>
      <c r="E21" s="45" t="s">
        <v>284</v>
      </c>
      <c r="F21" s="45" t="s">
        <v>170</v>
      </c>
      <c r="G21" s="60">
        <v>0.04</v>
      </c>
      <c r="H21" s="45" t="s">
        <v>193</v>
      </c>
      <c r="I21" s="45" t="s">
        <v>594</v>
      </c>
      <c r="J21" s="45" t="s">
        <v>595</v>
      </c>
      <c r="K21" s="45" t="s">
        <v>286</v>
      </c>
      <c r="L21" s="64">
        <v>66</v>
      </c>
      <c r="M21" s="52" t="s">
        <v>596</v>
      </c>
      <c r="N21" s="46" t="s">
        <v>597</v>
      </c>
      <c r="O21" s="46" t="s">
        <v>598</v>
      </c>
      <c r="P21" s="50" t="s">
        <v>287</v>
      </c>
    </row>
    <row r="22" spans="1:16" ht="288" customHeight="1">
      <c r="A22" s="45">
        <v>19</v>
      </c>
      <c r="B22" s="45" t="s">
        <v>191</v>
      </c>
      <c r="C22" s="45" t="s">
        <v>288</v>
      </c>
      <c r="D22" s="45" t="s">
        <v>193</v>
      </c>
      <c r="E22" s="45" t="s">
        <v>284</v>
      </c>
      <c r="F22" s="45" t="s">
        <v>170</v>
      </c>
      <c r="G22" s="60">
        <v>0.02</v>
      </c>
      <c r="H22" s="45" t="s">
        <v>193</v>
      </c>
      <c r="I22" s="45" t="s">
        <v>594</v>
      </c>
      <c r="J22" s="45" t="s">
        <v>599</v>
      </c>
      <c r="K22" s="45" t="s">
        <v>290</v>
      </c>
      <c r="L22" s="64">
        <v>60</v>
      </c>
      <c r="M22" s="52" t="s">
        <v>600</v>
      </c>
      <c r="N22" s="46" t="s">
        <v>601</v>
      </c>
      <c r="O22" s="46" t="s">
        <v>602</v>
      </c>
      <c r="P22" s="50" t="s">
        <v>291</v>
      </c>
    </row>
    <row r="23" spans="1:16" ht="324" customHeight="1">
      <c r="A23" s="45">
        <v>20</v>
      </c>
      <c r="B23" s="45" t="s">
        <v>191</v>
      </c>
      <c r="C23" s="45" t="s">
        <v>292</v>
      </c>
      <c r="D23" s="45" t="s">
        <v>193</v>
      </c>
      <c r="E23" s="45" t="s">
        <v>194</v>
      </c>
      <c r="F23" s="45" t="s">
        <v>171</v>
      </c>
      <c r="G23" s="60">
        <v>0.04</v>
      </c>
      <c r="H23" s="45" t="s">
        <v>193</v>
      </c>
      <c r="I23" s="45" t="s">
        <v>603</v>
      </c>
      <c r="J23" s="45" t="s">
        <v>604</v>
      </c>
      <c r="K23" s="45" t="s">
        <v>295</v>
      </c>
      <c r="L23" s="61">
        <v>58</v>
      </c>
      <c r="M23" s="52" t="s">
        <v>605</v>
      </c>
      <c r="N23" s="46" t="s">
        <v>606</v>
      </c>
      <c r="O23" s="46" t="s">
        <v>607</v>
      </c>
      <c r="P23" s="50" t="s">
        <v>296</v>
      </c>
    </row>
    <row r="24" spans="1:16" ht="306.95" customHeight="1">
      <c r="A24" s="45">
        <v>21</v>
      </c>
      <c r="B24" s="45" t="s">
        <v>191</v>
      </c>
      <c r="C24" s="45" t="s">
        <v>297</v>
      </c>
      <c r="D24" s="45" t="s">
        <v>193</v>
      </c>
      <c r="E24" s="45" t="s">
        <v>194</v>
      </c>
      <c r="F24" s="45" t="s">
        <v>171</v>
      </c>
      <c r="G24" s="60">
        <v>0.02</v>
      </c>
      <c r="H24" s="45" t="s">
        <v>193</v>
      </c>
      <c r="I24" s="45" t="s">
        <v>608</v>
      </c>
      <c r="J24" s="45" t="s">
        <v>609</v>
      </c>
      <c r="K24" s="45" t="s">
        <v>300</v>
      </c>
      <c r="L24" s="61">
        <v>48</v>
      </c>
      <c r="M24" s="52" t="s">
        <v>610</v>
      </c>
      <c r="N24" s="46" t="s">
        <v>611</v>
      </c>
      <c r="O24" s="46" t="s">
        <v>612</v>
      </c>
      <c r="P24" s="50" t="s">
        <v>301</v>
      </c>
    </row>
    <row r="25" spans="1:16" ht="363.95" customHeight="1">
      <c r="A25" s="45">
        <v>22</v>
      </c>
      <c r="B25" s="45" t="s">
        <v>191</v>
      </c>
      <c r="C25" s="45" t="s">
        <v>302</v>
      </c>
      <c r="D25" s="45" t="s">
        <v>193</v>
      </c>
      <c r="E25" s="45" t="s">
        <v>194</v>
      </c>
      <c r="F25" s="45" t="s">
        <v>171</v>
      </c>
      <c r="G25" s="60">
        <v>0.02</v>
      </c>
      <c r="H25" s="45" t="s">
        <v>193</v>
      </c>
      <c r="I25" s="45" t="s">
        <v>613</v>
      </c>
      <c r="J25" s="45" t="s">
        <v>614</v>
      </c>
      <c r="K25" s="45" t="s">
        <v>305</v>
      </c>
      <c r="L25" s="61">
        <v>50</v>
      </c>
      <c r="M25" s="52" t="s">
        <v>615</v>
      </c>
      <c r="N25" s="46" t="s">
        <v>616</v>
      </c>
      <c r="O25" s="46" t="s">
        <v>617</v>
      </c>
      <c r="P25" s="50" t="s">
        <v>306</v>
      </c>
    </row>
    <row r="26" spans="1:16" ht="356.1" customHeight="1">
      <c r="A26" s="45">
        <v>23</v>
      </c>
      <c r="B26" s="45" t="s">
        <v>191</v>
      </c>
      <c r="C26" s="45" t="s">
        <v>307</v>
      </c>
      <c r="D26" s="45" t="s">
        <v>193</v>
      </c>
      <c r="E26" s="45" t="s">
        <v>241</v>
      </c>
      <c r="F26" s="45" t="s">
        <v>173</v>
      </c>
      <c r="G26" s="60">
        <v>0.01</v>
      </c>
      <c r="H26" s="45" t="s">
        <v>193</v>
      </c>
      <c r="I26" s="45" t="s">
        <v>618</v>
      </c>
      <c r="J26" s="45" t="s">
        <v>619</v>
      </c>
      <c r="K26" s="45" t="s">
        <v>310</v>
      </c>
      <c r="L26" s="61">
        <v>56</v>
      </c>
      <c r="M26" s="52" t="s">
        <v>620</v>
      </c>
      <c r="N26" s="46" t="s">
        <v>621</v>
      </c>
      <c r="O26" s="46" t="s">
        <v>622</v>
      </c>
      <c r="P26" s="50" t="s">
        <v>311</v>
      </c>
    </row>
    <row r="27" spans="1:16" ht="351" customHeight="1">
      <c r="A27" s="45">
        <v>24</v>
      </c>
      <c r="B27" s="45" t="s">
        <v>191</v>
      </c>
      <c r="C27" s="45" t="s">
        <v>312</v>
      </c>
      <c r="D27" s="45" t="s">
        <v>193</v>
      </c>
      <c r="E27" s="45" t="s">
        <v>313</v>
      </c>
      <c r="F27" s="45" t="s">
        <v>170</v>
      </c>
      <c r="G27" s="60">
        <v>0.01</v>
      </c>
      <c r="H27" s="45" t="s">
        <v>193</v>
      </c>
      <c r="I27" s="45" t="s">
        <v>623</v>
      </c>
      <c r="J27" s="45" t="s">
        <v>624</v>
      </c>
      <c r="K27" s="45" t="s">
        <v>316</v>
      </c>
      <c r="L27" s="62">
        <v>36</v>
      </c>
      <c r="M27" s="52" t="s">
        <v>625</v>
      </c>
      <c r="N27" s="46" t="s">
        <v>626</v>
      </c>
      <c r="O27" s="46" t="s">
        <v>627</v>
      </c>
      <c r="P27" s="50" t="s">
        <v>317</v>
      </c>
    </row>
    <row r="28" spans="1:16" ht="330" customHeight="1">
      <c r="A28" s="45">
        <v>25</v>
      </c>
      <c r="B28" s="45" t="s">
        <v>191</v>
      </c>
      <c r="C28" s="45" t="s">
        <v>318</v>
      </c>
      <c r="D28" s="45" t="s">
        <v>193</v>
      </c>
      <c r="E28" s="45" t="s">
        <v>194</v>
      </c>
      <c r="F28" s="45" t="s">
        <v>171</v>
      </c>
      <c r="G28" s="60">
        <v>0.02</v>
      </c>
      <c r="H28" s="45" t="s">
        <v>193</v>
      </c>
      <c r="I28" s="45" t="s">
        <v>628</v>
      </c>
      <c r="J28" s="45" t="s">
        <v>629</v>
      </c>
      <c r="K28" s="45" t="s">
        <v>321</v>
      </c>
      <c r="L28" s="61">
        <v>45</v>
      </c>
      <c r="M28" s="52" t="s">
        <v>630</v>
      </c>
      <c r="N28" s="46" t="s">
        <v>631</v>
      </c>
      <c r="O28" s="46" t="s">
        <v>632</v>
      </c>
      <c r="P28" s="50" t="s">
        <v>322</v>
      </c>
    </row>
    <row r="29" spans="1:16" ht="320.10000000000002" customHeight="1">
      <c r="A29" s="45">
        <v>26</v>
      </c>
      <c r="B29" s="45" t="s">
        <v>323</v>
      </c>
      <c r="C29" s="45" t="s">
        <v>324</v>
      </c>
      <c r="D29" s="45" t="s">
        <v>193</v>
      </c>
      <c r="E29" s="45" t="s">
        <v>325</v>
      </c>
      <c r="F29" s="45" t="s">
        <v>172</v>
      </c>
      <c r="G29" s="60">
        <v>7.0000000000000007E-2</v>
      </c>
      <c r="H29" s="45" t="s">
        <v>225</v>
      </c>
      <c r="I29" s="45" t="s">
        <v>633</v>
      </c>
      <c r="J29" s="45" t="s">
        <v>634</v>
      </c>
      <c r="K29" s="45" t="s">
        <v>327</v>
      </c>
      <c r="L29" s="61">
        <v>58</v>
      </c>
      <c r="M29" s="52" t="s">
        <v>635</v>
      </c>
      <c r="N29" s="46" t="s">
        <v>636</v>
      </c>
      <c r="O29" s="46" t="s">
        <v>637</v>
      </c>
      <c r="P29" s="50" t="s">
        <v>328</v>
      </c>
    </row>
    <row r="30" spans="1:16" ht="290.10000000000002" customHeight="1">
      <c r="A30" s="45">
        <v>27</v>
      </c>
      <c r="B30" s="45" t="s">
        <v>323</v>
      </c>
      <c r="C30" s="45" t="s">
        <v>329</v>
      </c>
      <c r="D30" s="45" t="s">
        <v>193</v>
      </c>
      <c r="E30" s="45" t="s">
        <v>330</v>
      </c>
      <c r="F30" s="45" t="s">
        <v>171</v>
      </c>
      <c r="G30" s="60">
        <v>7.0000000000000007E-2</v>
      </c>
      <c r="H30" s="45" t="s">
        <v>193</v>
      </c>
      <c r="I30" s="45" t="s">
        <v>638</v>
      </c>
      <c r="J30" s="45" t="s">
        <v>639</v>
      </c>
      <c r="K30" s="45" t="s">
        <v>331</v>
      </c>
      <c r="L30" s="61">
        <v>52</v>
      </c>
      <c r="M30" s="52" t="s">
        <v>640</v>
      </c>
      <c r="N30" s="46" t="s">
        <v>641</v>
      </c>
      <c r="O30" s="46" t="s">
        <v>642</v>
      </c>
      <c r="P30" s="50" t="s">
        <v>643</v>
      </c>
    </row>
    <row r="31" spans="1:16" ht="302.10000000000002" customHeight="1">
      <c r="A31" s="45">
        <v>28</v>
      </c>
      <c r="B31" s="45" t="s">
        <v>323</v>
      </c>
      <c r="C31" s="45" t="s">
        <v>333</v>
      </c>
      <c r="D31" s="45" t="s">
        <v>193</v>
      </c>
      <c r="E31" s="45" t="s">
        <v>334</v>
      </c>
      <c r="F31" s="45" t="s">
        <v>172</v>
      </c>
      <c r="G31" s="60">
        <v>0.05</v>
      </c>
      <c r="H31" s="45" t="s">
        <v>225</v>
      </c>
      <c r="I31" s="45" t="s">
        <v>644</v>
      </c>
      <c r="J31" s="45" t="s">
        <v>645</v>
      </c>
      <c r="K31" s="45" t="s">
        <v>337</v>
      </c>
      <c r="L31" s="61">
        <v>54</v>
      </c>
      <c r="M31" s="52" t="s">
        <v>646</v>
      </c>
      <c r="N31" s="46" t="s">
        <v>647</v>
      </c>
      <c r="O31" s="46" t="s">
        <v>648</v>
      </c>
      <c r="P31" s="50" t="s">
        <v>338</v>
      </c>
    </row>
    <row r="32" spans="1:16" ht="249.95" customHeight="1">
      <c r="A32" s="53">
        <v>29</v>
      </c>
      <c r="B32" s="53" t="s">
        <v>323</v>
      </c>
      <c r="C32" s="53" t="s">
        <v>339</v>
      </c>
      <c r="D32" s="53" t="s">
        <v>262</v>
      </c>
      <c r="E32" s="53" t="s">
        <v>325</v>
      </c>
      <c r="F32" s="53" t="s">
        <v>172</v>
      </c>
      <c r="G32" s="65">
        <v>0.03</v>
      </c>
      <c r="H32" s="53" t="s">
        <v>262</v>
      </c>
      <c r="I32" s="53" t="s">
        <v>649</v>
      </c>
      <c r="J32" s="53" t="s">
        <v>650</v>
      </c>
      <c r="K32" s="53" t="s">
        <v>341</v>
      </c>
      <c r="L32" s="66"/>
      <c r="M32" s="67" t="s">
        <v>651</v>
      </c>
      <c r="N32" s="67" t="s">
        <v>652</v>
      </c>
      <c r="O32" s="67" t="s">
        <v>653</v>
      </c>
      <c r="P32" s="51" t="s">
        <v>342</v>
      </c>
    </row>
    <row r="33" spans="1:16" ht="315.95" customHeight="1">
      <c r="A33" s="45">
        <v>30</v>
      </c>
      <c r="B33" s="45" t="s">
        <v>323</v>
      </c>
      <c r="C33" s="45" t="s">
        <v>343</v>
      </c>
      <c r="D33" s="45" t="s">
        <v>193</v>
      </c>
      <c r="E33" s="45" t="s">
        <v>330</v>
      </c>
      <c r="F33" s="45" t="s">
        <v>171</v>
      </c>
      <c r="G33" s="60">
        <v>0.08</v>
      </c>
      <c r="H33" s="45" t="s">
        <v>225</v>
      </c>
      <c r="I33" s="45" t="s">
        <v>654</v>
      </c>
      <c r="J33" s="45" t="s">
        <v>655</v>
      </c>
      <c r="K33" s="45" t="s">
        <v>345</v>
      </c>
      <c r="L33" s="64">
        <v>64</v>
      </c>
      <c r="M33" s="52" t="s">
        <v>656</v>
      </c>
      <c r="N33" s="46" t="s">
        <v>657</v>
      </c>
      <c r="O33" s="46" t="s">
        <v>658</v>
      </c>
      <c r="P33" s="50" t="s">
        <v>346</v>
      </c>
    </row>
    <row r="34" spans="1:16" ht="282.95" customHeight="1">
      <c r="A34" s="45">
        <v>31</v>
      </c>
      <c r="B34" s="45" t="s">
        <v>323</v>
      </c>
      <c r="C34" s="45" t="s">
        <v>347</v>
      </c>
      <c r="D34" s="45" t="s">
        <v>193</v>
      </c>
      <c r="E34" s="45" t="s">
        <v>284</v>
      </c>
      <c r="F34" s="45" t="s">
        <v>170</v>
      </c>
      <c r="G34" s="60">
        <v>0.12</v>
      </c>
      <c r="H34" s="45" t="s">
        <v>193</v>
      </c>
      <c r="I34" s="45" t="s">
        <v>659</v>
      </c>
      <c r="J34" s="45" t="s">
        <v>660</v>
      </c>
      <c r="K34" s="45" t="s">
        <v>350</v>
      </c>
      <c r="L34" s="64">
        <v>62</v>
      </c>
      <c r="M34" s="52" t="s">
        <v>661</v>
      </c>
      <c r="N34" s="46" t="s">
        <v>662</v>
      </c>
      <c r="O34" s="46" t="s">
        <v>663</v>
      </c>
      <c r="P34" s="50" t="s">
        <v>351</v>
      </c>
    </row>
    <row r="35" spans="1:16" ht="311.10000000000002" customHeight="1">
      <c r="A35" s="45">
        <v>32</v>
      </c>
      <c r="B35" s="45" t="s">
        <v>323</v>
      </c>
      <c r="C35" s="45" t="s">
        <v>352</v>
      </c>
      <c r="D35" s="45" t="s">
        <v>193</v>
      </c>
      <c r="E35" s="45" t="s">
        <v>353</v>
      </c>
      <c r="F35" s="45" t="s">
        <v>170</v>
      </c>
      <c r="G35" s="60">
        <v>0.1</v>
      </c>
      <c r="H35" s="45" t="s">
        <v>193</v>
      </c>
      <c r="I35" s="45" t="s">
        <v>354</v>
      </c>
      <c r="J35" s="45" t="s">
        <v>664</v>
      </c>
      <c r="K35" s="45" t="s">
        <v>356</v>
      </c>
      <c r="L35" s="64">
        <v>62</v>
      </c>
      <c r="M35" s="52" t="s">
        <v>665</v>
      </c>
      <c r="N35" s="46" t="s">
        <v>666</v>
      </c>
      <c r="O35" s="46" t="s">
        <v>667</v>
      </c>
      <c r="P35" s="50" t="s">
        <v>357</v>
      </c>
    </row>
    <row r="36" spans="1:16" ht="312" customHeight="1">
      <c r="A36" s="45">
        <v>33</v>
      </c>
      <c r="B36" s="45" t="s">
        <v>323</v>
      </c>
      <c r="C36" s="45" t="s">
        <v>358</v>
      </c>
      <c r="D36" s="45" t="s">
        <v>193</v>
      </c>
      <c r="E36" s="45" t="s">
        <v>284</v>
      </c>
      <c r="F36" s="45" t="s">
        <v>170</v>
      </c>
      <c r="G36" s="60">
        <v>0.1</v>
      </c>
      <c r="H36" s="45" t="s">
        <v>193</v>
      </c>
      <c r="I36" s="45" t="s">
        <v>668</v>
      </c>
      <c r="J36" s="45" t="s">
        <v>669</v>
      </c>
      <c r="K36" s="45" t="s">
        <v>361</v>
      </c>
      <c r="L36" s="61">
        <v>48</v>
      </c>
      <c r="M36" s="52" t="s">
        <v>670</v>
      </c>
      <c r="N36" s="46" t="s">
        <v>671</v>
      </c>
      <c r="O36" s="46" t="s">
        <v>672</v>
      </c>
      <c r="P36" s="50" t="s">
        <v>362</v>
      </c>
    </row>
    <row r="37" spans="1:16" ht="315" customHeight="1">
      <c r="A37" s="45">
        <v>34</v>
      </c>
      <c r="B37" s="45" t="s">
        <v>323</v>
      </c>
      <c r="C37" s="45" t="s">
        <v>363</v>
      </c>
      <c r="D37" s="45" t="s">
        <v>193</v>
      </c>
      <c r="E37" s="45" t="s">
        <v>364</v>
      </c>
      <c r="F37" s="45" t="s">
        <v>170</v>
      </c>
      <c r="G37" s="60">
        <v>0.08</v>
      </c>
      <c r="H37" s="45" t="s">
        <v>193</v>
      </c>
      <c r="I37" s="45" t="s">
        <v>673</v>
      </c>
      <c r="J37" s="45" t="s">
        <v>674</v>
      </c>
      <c r="K37" s="45" t="s">
        <v>367</v>
      </c>
      <c r="L37" s="61">
        <v>50</v>
      </c>
      <c r="M37" s="52" t="s">
        <v>675</v>
      </c>
      <c r="N37" s="46" t="s">
        <v>676</v>
      </c>
      <c r="O37" s="46" t="s">
        <v>677</v>
      </c>
      <c r="P37" s="50" t="s">
        <v>368</v>
      </c>
    </row>
    <row r="38" spans="1:16" ht="290.10000000000002" customHeight="1">
      <c r="A38" s="45">
        <v>35</v>
      </c>
      <c r="B38" s="45" t="s">
        <v>323</v>
      </c>
      <c r="C38" s="45" t="s">
        <v>369</v>
      </c>
      <c r="D38" s="45" t="s">
        <v>193</v>
      </c>
      <c r="E38" s="45" t="s">
        <v>313</v>
      </c>
      <c r="F38" s="45" t="s">
        <v>170</v>
      </c>
      <c r="G38" s="60">
        <v>0.04</v>
      </c>
      <c r="H38" s="45" t="s">
        <v>193</v>
      </c>
      <c r="I38" s="45" t="s">
        <v>678</v>
      </c>
      <c r="J38" s="45" t="s">
        <v>679</v>
      </c>
      <c r="K38" s="45" t="s">
        <v>370</v>
      </c>
      <c r="L38" s="64">
        <v>60</v>
      </c>
      <c r="M38" s="52" t="s">
        <v>680</v>
      </c>
      <c r="N38" s="46" t="s">
        <v>681</v>
      </c>
      <c r="O38" s="46" t="s">
        <v>682</v>
      </c>
      <c r="P38" s="50" t="s">
        <v>371</v>
      </c>
    </row>
    <row r="39" spans="1:16" ht="332.1" customHeight="1">
      <c r="A39" s="45">
        <v>36</v>
      </c>
      <c r="B39" s="45" t="s">
        <v>323</v>
      </c>
      <c r="C39" s="45" t="s">
        <v>372</v>
      </c>
      <c r="D39" s="45" t="s">
        <v>193</v>
      </c>
      <c r="E39" s="45" t="s">
        <v>284</v>
      </c>
      <c r="F39" s="45" t="s">
        <v>170</v>
      </c>
      <c r="G39" s="60">
        <v>0.04</v>
      </c>
      <c r="H39" s="45" t="s">
        <v>225</v>
      </c>
      <c r="I39" s="45" t="s">
        <v>683</v>
      </c>
      <c r="J39" s="45" t="s">
        <v>684</v>
      </c>
      <c r="K39" s="45" t="s">
        <v>375</v>
      </c>
      <c r="L39" s="61">
        <v>49</v>
      </c>
      <c r="M39" s="52" t="s">
        <v>685</v>
      </c>
      <c r="N39" s="46" t="s">
        <v>686</v>
      </c>
      <c r="O39" s="46" t="s">
        <v>687</v>
      </c>
      <c r="P39" s="50" t="s">
        <v>688</v>
      </c>
    </row>
    <row r="40" spans="1:16" ht="288" customHeight="1">
      <c r="A40" s="45">
        <v>37</v>
      </c>
      <c r="B40" s="45" t="s">
        <v>323</v>
      </c>
      <c r="C40" s="45" t="s">
        <v>377</v>
      </c>
      <c r="D40" s="45" t="s">
        <v>193</v>
      </c>
      <c r="E40" s="45" t="s">
        <v>284</v>
      </c>
      <c r="F40" s="45" t="s">
        <v>170</v>
      </c>
      <c r="G40" s="60">
        <v>0.04</v>
      </c>
      <c r="H40" s="45" t="s">
        <v>193</v>
      </c>
      <c r="I40" s="45" t="s">
        <v>689</v>
      </c>
      <c r="J40" s="45" t="s">
        <v>590</v>
      </c>
      <c r="K40" s="45" t="s">
        <v>379</v>
      </c>
      <c r="L40" s="61">
        <v>48</v>
      </c>
      <c r="M40" s="52" t="s">
        <v>690</v>
      </c>
      <c r="N40" s="46" t="s">
        <v>691</v>
      </c>
      <c r="O40" s="46" t="s">
        <v>692</v>
      </c>
      <c r="P40" s="50" t="s">
        <v>380</v>
      </c>
    </row>
    <row r="41" spans="1:16" ht="309" customHeight="1">
      <c r="A41" s="45">
        <v>38</v>
      </c>
      <c r="B41" s="45" t="s">
        <v>323</v>
      </c>
      <c r="C41" s="45" t="s">
        <v>381</v>
      </c>
      <c r="D41" s="45" t="s">
        <v>193</v>
      </c>
      <c r="E41" s="45" t="s">
        <v>364</v>
      </c>
      <c r="F41" s="45" t="s">
        <v>170</v>
      </c>
      <c r="G41" s="60">
        <v>0.05</v>
      </c>
      <c r="H41" s="45" t="s">
        <v>193</v>
      </c>
      <c r="I41" s="45" t="s">
        <v>693</v>
      </c>
      <c r="J41" s="45" t="s">
        <v>694</v>
      </c>
      <c r="K41" s="45" t="s">
        <v>382</v>
      </c>
      <c r="L41" s="61">
        <v>50</v>
      </c>
      <c r="M41" s="52" t="s">
        <v>695</v>
      </c>
      <c r="N41" s="46" t="s">
        <v>696</v>
      </c>
      <c r="O41" s="46" t="s">
        <v>697</v>
      </c>
      <c r="P41" s="50" t="s">
        <v>698</v>
      </c>
    </row>
    <row r="42" spans="1:16" ht="281.10000000000002" customHeight="1">
      <c r="A42" s="45">
        <v>39</v>
      </c>
      <c r="B42" s="45" t="s">
        <v>323</v>
      </c>
      <c r="C42" s="45" t="s">
        <v>384</v>
      </c>
      <c r="D42" s="45" t="s">
        <v>193</v>
      </c>
      <c r="E42" s="45" t="s">
        <v>313</v>
      </c>
      <c r="F42" s="45" t="s">
        <v>170</v>
      </c>
      <c r="G42" s="60">
        <v>0.01</v>
      </c>
      <c r="H42" s="45" t="s">
        <v>193</v>
      </c>
      <c r="I42" s="45" t="s">
        <v>699</v>
      </c>
      <c r="J42" s="45" t="s">
        <v>700</v>
      </c>
      <c r="K42" s="45" t="s">
        <v>386</v>
      </c>
      <c r="L42" s="61">
        <v>52</v>
      </c>
      <c r="M42" s="52" t="s">
        <v>701</v>
      </c>
      <c r="N42" s="46" t="s">
        <v>702</v>
      </c>
      <c r="O42" s="46" t="s">
        <v>703</v>
      </c>
      <c r="P42" s="50" t="s">
        <v>387</v>
      </c>
    </row>
    <row r="43" spans="1:16" ht="269.10000000000002" customHeight="1">
      <c r="A43" s="45">
        <v>40</v>
      </c>
      <c r="B43" s="45" t="s">
        <v>323</v>
      </c>
      <c r="C43" s="45" t="s">
        <v>388</v>
      </c>
      <c r="D43" s="45" t="s">
        <v>193</v>
      </c>
      <c r="E43" s="45" t="s">
        <v>389</v>
      </c>
      <c r="F43" s="45" t="s">
        <v>170</v>
      </c>
      <c r="G43" s="60">
        <v>0.03</v>
      </c>
      <c r="H43" s="45" t="s">
        <v>225</v>
      </c>
      <c r="I43" s="45" t="s">
        <v>704</v>
      </c>
      <c r="J43" s="45" t="s">
        <v>705</v>
      </c>
      <c r="K43" s="45" t="s">
        <v>391</v>
      </c>
      <c r="L43" s="61">
        <v>48</v>
      </c>
      <c r="M43" s="52" t="s">
        <v>706</v>
      </c>
      <c r="N43" s="46" t="s">
        <v>707</v>
      </c>
      <c r="O43" s="46" t="s">
        <v>708</v>
      </c>
      <c r="P43" s="50" t="s">
        <v>392</v>
      </c>
    </row>
    <row r="44" spans="1:16" ht="276" customHeight="1">
      <c r="A44" s="45">
        <v>41</v>
      </c>
      <c r="B44" s="45" t="s">
        <v>323</v>
      </c>
      <c r="C44" s="45" t="s">
        <v>393</v>
      </c>
      <c r="D44" s="45" t="s">
        <v>193</v>
      </c>
      <c r="E44" s="45" t="s">
        <v>251</v>
      </c>
      <c r="F44" s="45" t="s">
        <v>171</v>
      </c>
      <c r="G44" s="60">
        <v>0.01</v>
      </c>
      <c r="H44" s="45" t="s">
        <v>225</v>
      </c>
      <c r="I44" s="45" t="s">
        <v>709</v>
      </c>
      <c r="J44" s="45" t="s">
        <v>710</v>
      </c>
      <c r="K44" s="45" t="s">
        <v>396</v>
      </c>
      <c r="L44" s="62">
        <v>38</v>
      </c>
      <c r="M44" s="52" t="s">
        <v>711</v>
      </c>
      <c r="N44" s="46" t="s">
        <v>712</v>
      </c>
      <c r="O44" s="46" t="s">
        <v>713</v>
      </c>
      <c r="P44" s="50" t="s">
        <v>397</v>
      </c>
    </row>
    <row r="45" spans="1:16" ht="314.10000000000002" customHeight="1">
      <c r="A45" s="45">
        <v>42</v>
      </c>
      <c r="B45" s="45" t="s">
        <v>323</v>
      </c>
      <c r="C45" s="45" t="s">
        <v>398</v>
      </c>
      <c r="D45" s="45" t="s">
        <v>193</v>
      </c>
      <c r="E45" s="45" t="s">
        <v>364</v>
      </c>
      <c r="F45" s="45" t="s">
        <v>170</v>
      </c>
      <c r="G45" s="60">
        <v>0.04</v>
      </c>
      <c r="H45" s="45" t="s">
        <v>193</v>
      </c>
      <c r="I45" s="45" t="s">
        <v>714</v>
      </c>
      <c r="J45" s="45" t="s">
        <v>715</v>
      </c>
      <c r="K45" s="45" t="s">
        <v>401</v>
      </c>
      <c r="L45" s="61">
        <v>55</v>
      </c>
      <c r="M45" s="52" t="s">
        <v>716</v>
      </c>
      <c r="N45" s="46" t="s">
        <v>717</v>
      </c>
      <c r="O45" s="46" t="s">
        <v>718</v>
      </c>
      <c r="P45" s="50" t="s">
        <v>402</v>
      </c>
    </row>
    <row r="46" spans="1:16" ht="363" customHeight="1">
      <c r="A46" s="45">
        <v>43</v>
      </c>
      <c r="B46" s="45" t="s">
        <v>323</v>
      </c>
      <c r="C46" s="45" t="s">
        <v>403</v>
      </c>
      <c r="D46" s="45" t="s">
        <v>193</v>
      </c>
      <c r="E46" s="45" t="s">
        <v>325</v>
      </c>
      <c r="F46" s="45" t="s">
        <v>172</v>
      </c>
      <c r="G46" s="60">
        <v>0.02</v>
      </c>
      <c r="H46" s="45" t="s">
        <v>193</v>
      </c>
      <c r="I46" s="45" t="s">
        <v>719</v>
      </c>
      <c r="J46" s="45" t="s">
        <v>720</v>
      </c>
      <c r="K46" s="45" t="s">
        <v>405</v>
      </c>
      <c r="L46" s="61">
        <v>50</v>
      </c>
      <c r="M46" s="52" t="s">
        <v>721</v>
      </c>
      <c r="N46" s="46" t="s">
        <v>722</v>
      </c>
      <c r="O46" s="46" t="s">
        <v>723</v>
      </c>
      <c r="P46" s="50" t="s">
        <v>406</v>
      </c>
    </row>
    <row r="47" spans="1:16" ht="288.95" customHeight="1">
      <c r="A47" s="53">
        <v>44</v>
      </c>
      <c r="B47" s="53" t="s">
        <v>323</v>
      </c>
      <c r="C47" s="53" t="s">
        <v>407</v>
      </c>
      <c r="D47" s="53" t="s">
        <v>262</v>
      </c>
      <c r="E47" s="53" t="s">
        <v>389</v>
      </c>
      <c r="F47" s="53" t="s">
        <v>170</v>
      </c>
      <c r="G47" s="65">
        <v>0.02</v>
      </c>
      <c r="H47" s="53" t="s">
        <v>262</v>
      </c>
      <c r="I47" s="53" t="s">
        <v>724</v>
      </c>
      <c r="J47" s="53" t="s">
        <v>725</v>
      </c>
      <c r="K47" s="53" t="s">
        <v>409</v>
      </c>
      <c r="L47" s="66"/>
      <c r="M47" s="67" t="s">
        <v>726</v>
      </c>
      <c r="N47" s="67" t="s">
        <v>727</v>
      </c>
      <c r="O47" s="67" t="s">
        <v>728</v>
      </c>
      <c r="P47" s="51" t="s">
        <v>410</v>
      </c>
    </row>
    <row r="48" spans="1:16" ht="327" customHeight="1">
      <c r="A48" s="45">
        <v>45</v>
      </c>
      <c r="B48" s="45" t="s">
        <v>323</v>
      </c>
      <c r="C48" s="45" t="s">
        <v>411</v>
      </c>
      <c r="D48" s="45" t="s">
        <v>193</v>
      </c>
      <c r="E48" s="45" t="s">
        <v>389</v>
      </c>
      <c r="F48" s="45" t="s">
        <v>170</v>
      </c>
      <c r="G48" s="60">
        <v>0.02</v>
      </c>
      <c r="H48" s="45" t="s">
        <v>193</v>
      </c>
      <c r="I48" s="45" t="s">
        <v>729</v>
      </c>
      <c r="J48" s="45" t="s">
        <v>730</v>
      </c>
      <c r="K48" s="45" t="s">
        <v>414</v>
      </c>
      <c r="L48" s="61">
        <v>52</v>
      </c>
      <c r="M48" s="52" t="s">
        <v>731</v>
      </c>
      <c r="N48" s="46" t="s">
        <v>732</v>
      </c>
      <c r="O48" s="46" t="s">
        <v>733</v>
      </c>
      <c r="P48" s="50" t="s">
        <v>415</v>
      </c>
    </row>
    <row r="49" spans="1:16" ht="303" customHeight="1">
      <c r="A49" s="45">
        <v>46</v>
      </c>
      <c r="B49" s="45" t="s">
        <v>416</v>
      </c>
      <c r="C49" s="45" t="s">
        <v>417</v>
      </c>
      <c r="D49" s="45" t="s">
        <v>193</v>
      </c>
      <c r="E49" s="45" t="s">
        <v>224</v>
      </c>
      <c r="F49" s="45" t="s">
        <v>173</v>
      </c>
      <c r="G49" s="60">
        <v>0.12</v>
      </c>
      <c r="H49" s="45" t="s">
        <v>225</v>
      </c>
      <c r="I49" s="45" t="s">
        <v>734</v>
      </c>
      <c r="J49" s="45" t="s">
        <v>735</v>
      </c>
      <c r="K49" s="45" t="s">
        <v>420</v>
      </c>
      <c r="L49" s="61">
        <v>44</v>
      </c>
      <c r="M49" s="52" t="s">
        <v>736</v>
      </c>
      <c r="N49" s="46" t="s">
        <v>737</v>
      </c>
      <c r="O49" s="46" t="s">
        <v>738</v>
      </c>
      <c r="P49" s="50" t="s">
        <v>421</v>
      </c>
    </row>
    <row r="50" spans="1:16" ht="333.95" customHeight="1">
      <c r="A50" s="53">
        <v>47</v>
      </c>
      <c r="B50" s="53" t="s">
        <v>416</v>
      </c>
      <c r="C50" s="53" t="s">
        <v>422</v>
      </c>
      <c r="D50" s="53" t="s">
        <v>262</v>
      </c>
      <c r="E50" s="53" t="s">
        <v>263</v>
      </c>
      <c r="F50" s="53" t="s">
        <v>263</v>
      </c>
      <c r="G50" s="65">
        <v>0.12</v>
      </c>
      <c r="H50" s="53" t="s">
        <v>262</v>
      </c>
      <c r="I50" s="53" t="s">
        <v>739</v>
      </c>
      <c r="J50" s="53" t="s">
        <v>740</v>
      </c>
      <c r="K50" s="53" t="s">
        <v>424</v>
      </c>
      <c r="L50" s="66"/>
      <c r="M50" s="67" t="s">
        <v>741</v>
      </c>
      <c r="N50" s="67" t="s">
        <v>742</v>
      </c>
      <c r="O50" s="67" t="s">
        <v>743</v>
      </c>
      <c r="P50" s="51" t="s">
        <v>425</v>
      </c>
    </row>
    <row r="51" spans="1:16" ht="258" customHeight="1">
      <c r="A51" s="53">
        <v>48</v>
      </c>
      <c r="B51" s="53" t="s">
        <v>416</v>
      </c>
      <c r="C51" s="53" t="s">
        <v>426</v>
      </c>
      <c r="D51" s="53" t="s">
        <v>262</v>
      </c>
      <c r="E51" s="53" t="s">
        <v>263</v>
      </c>
      <c r="F51" s="53" t="s">
        <v>263</v>
      </c>
      <c r="G51" s="65">
        <v>0.14000000000000001</v>
      </c>
      <c r="H51" s="53" t="s">
        <v>262</v>
      </c>
      <c r="I51" s="53" t="s">
        <v>744</v>
      </c>
      <c r="J51" s="53" t="s">
        <v>745</v>
      </c>
      <c r="K51" s="53" t="s">
        <v>427</v>
      </c>
      <c r="L51" s="66"/>
      <c r="M51" s="67" t="s">
        <v>746</v>
      </c>
      <c r="N51" s="67" t="s">
        <v>747</v>
      </c>
      <c r="O51" s="67" t="s">
        <v>748</v>
      </c>
      <c r="P51" s="51" t="s">
        <v>428</v>
      </c>
    </row>
    <row r="52" spans="1:16" ht="276" customHeight="1">
      <c r="A52" s="53">
        <v>49</v>
      </c>
      <c r="B52" s="53" t="s">
        <v>416</v>
      </c>
      <c r="C52" s="53" t="s">
        <v>429</v>
      </c>
      <c r="D52" s="53" t="s">
        <v>262</v>
      </c>
      <c r="E52" s="53" t="s">
        <v>263</v>
      </c>
      <c r="F52" s="53" t="s">
        <v>263</v>
      </c>
      <c r="G52" s="65">
        <v>0.1</v>
      </c>
      <c r="H52" s="53" t="s">
        <v>262</v>
      </c>
      <c r="I52" s="53" t="s">
        <v>749</v>
      </c>
      <c r="J52" s="53" t="s">
        <v>750</v>
      </c>
      <c r="K52" s="53" t="s">
        <v>430</v>
      </c>
      <c r="L52" s="66"/>
      <c r="M52" s="67" t="s">
        <v>751</v>
      </c>
      <c r="N52" s="67" t="s">
        <v>752</v>
      </c>
      <c r="O52" s="67" t="s">
        <v>753</v>
      </c>
      <c r="P52" s="51" t="s">
        <v>431</v>
      </c>
    </row>
    <row r="53" spans="1:16" ht="276.95" customHeight="1">
      <c r="A53" s="53">
        <v>50</v>
      </c>
      <c r="B53" s="53" t="s">
        <v>416</v>
      </c>
      <c r="C53" s="53" t="s">
        <v>432</v>
      </c>
      <c r="D53" s="53" t="s">
        <v>262</v>
      </c>
      <c r="E53" s="53" t="s">
        <v>263</v>
      </c>
      <c r="F53" s="53" t="s">
        <v>263</v>
      </c>
      <c r="G53" s="65">
        <v>0.1</v>
      </c>
      <c r="H53" s="53" t="s">
        <v>262</v>
      </c>
      <c r="I53" s="53" t="s">
        <v>754</v>
      </c>
      <c r="J53" s="53" t="s">
        <v>755</v>
      </c>
      <c r="K53" s="53" t="s">
        <v>434</v>
      </c>
      <c r="L53" s="66"/>
      <c r="M53" s="67" t="s">
        <v>756</v>
      </c>
      <c r="N53" s="67" t="s">
        <v>757</v>
      </c>
      <c r="O53" s="67" t="s">
        <v>758</v>
      </c>
      <c r="P53" s="51" t="s">
        <v>435</v>
      </c>
    </row>
    <row r="54" spans="1:16" ht="273.95" customHeight="1">
      <c r="A54" s="53">
        <v>51</v>
      </c>
      <c r="B54" s="53" t="s">
        <v>416</v>
      </c>
      <c r="C54" s="53" t="s">
        <v>436</v>
      </c>
      <c r="D54" s="53" t="s">
        <v>262</v>
      </c>
      <c r="E54" s="53" t="s">
        <v>263</v>
      </c>
      <c r="F54" s="53" t="s">
        <v>263</v>
      </c>
      <c r="G54" s="65">
        <v>0.1</v>
      </c>
      <c r="H54" s="53" t="s">
        <v>262</v>
      </c>
      <c r="I54" s="53" t="s">
        <v>759</v>
      </c>
      <c r="J54" s="53" t="s">
        <v>760</v>
      </c>
      <c r="K54" s="53" t="s">
        <v>437</v>
      </c>
      <c r="L54" s="66"/>
      <c r="M54" s="67" t="s">
        <v>761</v>
      </c>
      <c r="N54" s="67" t="s">
        <v>762</v>
      </c>
      <c r="O54" s="67" t="s">
        <v>763</v>
      </c>
      <c r="P54" s="51" t="s">
        <v>438</v>
      </c>
    </row>
    <row r="55" spans="1:16" ht="288" customHeight="1">
      <c r="A55" s="53">
        <v>52</v>
      </c>
      <c r="B55" s="53" t="s">
        <v>416</v>
      </c>
      <c r="C55" s="53" t="s">
        <v>439</v>
      </c>
      <c r="D55" s="53" t="s">
        <v>262</v>
      </c>
      <c r="E55" s="53" t="s">
        <v>263</v>
      </c>
      <c r="F55" s="53" t="s">
        <v>263</v>
      </c>
      <c r="G55" s="65">
        <v>0.08</v>
      </c>
      <c r="H55" s="53" t="s">
        <v>262</v>
      </c>
      <c r="I55" s="53" t="s">
        <v>764</v>
      </c>
      <c r="J55" s="53" t="s">
        <v>765</v>
      </c>
      <c r="K55" s="53" t="s">
        <v>440</v>
      </c>
      <c r="L55" s="66"/>
      <c r="M55" s="67" t="s">
        <v>766</v>
      </c>
      <c r="N55" s="67" t="s">
        <v>767</v>
      </c>
      <c r="O55" s="67" t="s">
        <v>768</v>
      </c>
      <c r="P55" s="51" t="s">
        <v>441</v>
      </c>
    </row>
    <row r="56" spans="1:16" ht="284.10000000000002" customHeight="1">
      <c r="A56" s="53">
        <v>53</v>
      </c>
      <c r="B56" s="53" t="s">
        <v>416</v>
      </c>
      <c r="C56" s="53" t="s">
        <v>442</v>
      </c>
      <c r="D56" s="53" t="s">
        <v>262</v>
      </c>
      <c r="E56" s="53" t="s">
        <v>263</v>
      </c>
      <c r="F56" s="53" t="s">
        <v>263</v>
      </c>
      <c r="G56" s="65">
        <v>0.08</v>
      </c>
      <c r="H56" s="53" t="s">
        <v>262</v>
      </c>
      <c r="I56" s="53" t="s">
        <v>769</v>
      </c>
      <c r="J56" s="53" t="s">
        <v>770</v>
      </c>
      <c r="K56" s="53" t="s">
        <v>443</v>
      </c>
      <c r="L56" s="66"/>
      <c r="M56" s="67" t="s">
        <v>771</v>
      </c>
      <c r="N56" s="67" t="s">
        <v>772</v>
      </c>
      <c r="O56" s="67" t="s">
        <v>773</v>
      </c>
      <c r="P56" s="51" t="s">
        <v>444</v>
      </c>
    </row>
    <row r="57" spans="1:16" ht="291" customHeight="1">
      <c r="A57" s="53">
        <v>54</v>
      </c>
      <c r="B57" s="53" t="s">
        <v>416</v>
      </c>
      <c r="C57" s="53" t="s">
        <v>445</v>
      </c>
      <c r="D57" s="53" t="s">
        <v>262</v>
      </c>
      <c r="E57" s="53" t="s">
        <v>263</v>
      </c>
      <c r="F57" s="53" t="s">
        <v>263</v>
      </c>
      <c r="G57" s="65">
        <v>0.1</v>
      </c>
      <c r="H57" s="53" t="s">
        <v>262</v>
      </c>
      <c r="I57" s="53" t="s">
        <v>774</v>
      </c>
      <c r="J57" s="53" t="s">
        <v>775</v>
      </c>
      <c r="K57" s="53" t="s">
        <v>446</v>
      </c>
      <c r="L57" s="66"/>
      <c r="M57" s="67" t="s">
        <v>776</v>
      </c>
      <c r="N57" s="67" t="s">
        <v>777</v>
      </c>
      <c r="O57" s="67" t="s">
        <v>778</v>
      </c>
      <c r="P57" s="51" t="s">
        <v>447</v>
      </c>
    </row>
    <row r="58" spans="1:16" ht="312" customHeight="1">
      <c r="A58" s="53">
        <v>55</v>
      </c>
      <c r="B58" s="53" t="s">
        <v>416</v>
      </c>
      <c r="C58" s="53" t="s">
        <v>448</v>
      </c>
      <c r="D58" s="53" t="s">
        <v>193</v>
      </c>
      <c r="E58" s="53" t="s">
        <v>449</v>
      </c>
      <c r="F58" s="53" t="s">
        <v>173</v>
      </c>
      <c r="G58" s="65">
        <v>0.06</v>
      </c>
      <c r="H58" s="53" t="s">
        <v>262</v>
      </c>
      <c r="I58" s="53" t="s">
        <v>779</v>
      </c>
      <c r="J58" s="53" t="s">
        <v>780</v>
      </c>
      <c r="K58" s="53" t="s">
        <v>450</v>
      </c>
      <c r="L58" s="66"/>
      <c r="M58" s="67" t="s">
        <v>781</v>
      </c>
      <c r="N58" s="67" t="s">
        <v>782</v>
      </c>
      <c r="O58" s="67" t="s">
        <v>783</v>
      </c>
      <c r="P58" s="51" t="s">
        <v>451</v>
      </c>
    </row>
    <row r="59" spans="1:16" ht="338.1" customHeight="1">
      <c r="A59" s="45">
        <v>56</v>
      </c>
      <c r="B59" s="45" t="s">
        <v>416</v>
      </c>
      <c r="C59" s="45" t="s">
        <v>452</v>
      </c>
      <c r="D59" s="45" t="s">
        <v>193</v>
      </c>
      <c r="E59" s="45" t="s">
        <v>449</v>
      </c>
      <c r="F59" s="45" t="s">
        <v>173</v>
      </c>
      <c r="G59" s="60">
        <v>0.05</v>
      </c>
      <c r="H59" s="45" t="s">
        <v>193</v>
      </c>
      <c r="I59" s="45" t="s">
        <v>784</v>
      </c>
      <c r="J59" s="45" t="s">
        <v>785</v>
      </c>
      <c r="K59" s="45" t="s">
        <v>455</v>
      </c>
      <c r="L59" s="61">
        <v>46</v>
      </c>
      <c r="M59" s="52" t="s">
        <v>786</v>
      </c>
      <c r="N59" s="46" t="s">
        <v>787</v>
      </c>
      <c r="O59" s="46" t="s">
        <v>788</v>
      </c>
      <c r="P59" s="50" t="s">
        <v>456</v>
      </c>
    </row>
    <row r="60" spans="1:16" ht="293.10000000000002" customHeight="1">
      <c r="A60" s="45">
        <v>57</v>
      </c>
      <c r="B60" s="45" t="s">
        <v>457</v>
      </c>
      <c r="C60" s="45" t="s">
        <v>458</v>
      </c>
      <c r="D60" s="45" t="s">
        <v>193</v>
      </c>
      <c r="E60" s="45" t="s">
        <v>353</v>
      </c>
      <c r="F60" s="45" t="s">
        <v>170</v>
      </c>
      <c r="G60" s="60">
        <v>0.2</v>
      </c>
      <c r="H60" s="45" t="s">
        <v>193</v>
      </c>
      <c r="I60" s="45" t="s">
        <v>354</v>
      </c>
      <c r="J60" s="45" t="s">
        <v>789</v>
      </c>
      <c r="K60" s="45" t="s">
        <v>460</v>
      </c>
      <c r="L60" s="64">
        <v>62</v>
      </c>
      <c r="M60" s="52" t="s">
        <v>790</v>
      </c>
      <c r="N60" s="46" t="s">
        <v>791</v>
      </c>
      <c r="O60" s="46" t="s">
        <v>792</v>
      </c>
      <c r="P60" s="50" t="s">
        <v>793</v>
      </c>
    </row>
    <row r="61" spans="1:16" ht="294.95" customHeight="1">
      <c r="A61" s="53">
        <v>58</v>
      </c>
      <c r="B61" s="53" t="s">
        <v>457</v>
      </c>
      <c r="C61" s="53" t="s">
        <v>462</v>
      </c>
      <c r="D61" s="53" t="s">
        <v>262</v>
      </c>
      <c r="E61" s="53" t="s">
        <v>263</v>
      </c>
      <c r="F61" s="53" t="s">
        <v>263</v>
      </c>
      <c r="G61" s="65">
        <v>0.1</v>
      </c>
      <c r="H61" s="53" t="s">
        <v>262</v>
      </c>
      <c r="I61" s="53" t="s">
        <v>794</v>
      </c>
      <c r="J61" s="53" t="s">
        <v>795</v>
      </c>
      <c r="K61" s="53" t="s">
        <v>463</v>
      </c>
      <c r="L61" s="66"/>
      <c r="M61" s="67" t="s">
        <v>796</v>
      </c>
      <c r="N61" s="67" t="s">
        <v>797</v>
      </c>
      <c r="O61" s="67" t="s">
        <v>798</v>
      </c>
      <c r="P61" s="51" t="s">
        <v>799</v>
      </c>
    </row>
    <row r="62" spans="1:16" ht="324.95" customHeight="1">
      <c r="A62" s="45">
        <v>59</v>
      </c>
      <c r="B62" s="45" t="s">
        <v>457</v>
      </c>
      <c r="C62" s="45" t="s">
        <v>465</v>
      </c>
      <c r="D62" s="45" t="s">
        <v>193</v>
      </c>
      <c r="E62" s="45" t="s">
        <v>278</v>
      </c>
      <c r="F62" s="45" t="s">
        <v>173</v>
      </c>
      <c r="G62" s="60">
        <v>0.15</v>
      </c>
      <c r="H62" s="45" t="s">
        <v>193</v>
      </c>
      <c r="I62" s="45" t="s">
        <v>800</v>
      </c>
      <c r="J62" s="45" t="s">
        <v>801</v>
      </c>
      <c r="K62" s="45" t="s">
        <v>467</v>
      </c>
      <c r="L62" s="62">
        <v>30</v>
      </c>
      <c r="M62" s="52" t="s">
        <v>802</v>
      </c>
      <c r="N62" s="46" t="s">
        <v>803</v>
      </c>
      <c r="O62" s="46" t="s">
        <v>804</v>
      </c>
      <c r="P62" s="50" t="s">
        <v>805</v>
      </c>
    </row>
    <row r="63" spans="1:16" ht="297" customHeight="1">
      <c r="A63" s="45">
        <v>60</v>
      </c>
      <c r="B63" s="45" t="s">
        <v>457</v>
      </c>
      <c r="C63" s="45" t="s">
        <v>469</v>
      </c>
      <c r="D63" s="45" t="s">
        <v>193</v>
      </c>
      <c r="E63" s="45" t="s">
        <v>278</v>
      </c>
      <c r="F63" s="45" t="s">
        <v>173</v>
      </c>
      <c r="G63" s="60">
        <v>0.15</v>
      </c>
      <c r="H63" s="45" t="s">
        <v>193</v>
      </c>
      <c r="I63" s="45" t="s">
        <v>806</v>
      </c>
      <c r="J63" s="45" t="s">
        <v>807</v>
      </c>
      <c r="K63" s="45" t="s">
        <v>471</v>
      </c>
      <c r="L63" s="62">
        <v>24</v>
      </c>
      <c r="M63" s="52" t="s">
        <v>808</v>
      </c>
      <c r="N63" s="46" t="s">
        <v>809</v>
      </c>
      <c r="O63" s="46" t="s">
        <v>810</v>
      </c>
      <c r="P63" s="50" t="s">
        <v>472</v>
      </c>
    </row>
    <row r="64" spans="1:16" ht="339.95" customHeight="1">
      <c r="A64" s="45">
        <v>61</v>
      </c>
      <c r="B64" s="45" t="s">
        <v>457</v>
      </c>
      <c r="C64" s="45" t="s">
        <v>473</v>
      </c>
      <c r="D64" s="45" t="s">
        <v>193</v>
      </c>
      <c r="E64" s="45" t="s">
        <v>334</v>
      </c>
      <c r="F64" s="45" t="s">
        <v>172</v>
      </c>
      <c r="G64" s="60">
        <v>0.15</v>
      </c>
      <c r="H64" s="45" t="s">
        <v>225</v>
      </c>
      <c r="I64" s="45" t="s">
        <v>811</v>
      </c>
      <c r="J64" s="45" t="s">
        <v>812</v>
      </c>
      <c r="K64" s="45" t="s">
        <v>474</v>
      </c>
      <c r="L64" s="62">
        <v>34</v>
      </c>
      <c r="M64" s="52" t="s">
        <v>813</v>
      </c>
      <c r="N64" s="46" t="s">
        <v>814</v>
      </c>
      <c r="O64" s="46" t="s">
        <v>815</v>
      </c>
      <c r="P64" s="50" t="s">
        <v>816</v>
      </c>
    </row>
    <row r="65" spans="1:16" ht="321" customHeight="1">
      <c r="A65" s="45">
        <v>62</v>
      </c>
      <c r="B65" s="45" t="s">
        <v>457</v>
      </c>
      <c r="C65" s="45" t="s">
        <v>476</v>
      </c>
      <c r="D65" s="45" t="s">
        <v>193</v>
      </c>
      <c r="E65" s="45" t="s">
        <v>477</v>
      </c>
      <c r="F65" s="45" t="s">
        <v>172</v>
      </c>
      <c r="G65" s="60">
        <v>0.1</v>
      </c>
      <c r="H65" s="45" t="s">
        <v>193</v>
      </c>
      <c r="I65" s="45" t="s">
        <v>817</v>
      </c>
      <c r="J65" s="45" t="s">
        <v>818</v>
      </c>
      <c r="K65" s="45" t="s">
        <v>478</v>
      </c>
      <c r="L65" s="62">
        <v>20</v>
      </c>
      <c r="M65" s="52" t="s">
        <v>819</v>
      </c>
      <c r="N65" s="46" t="s">
        <v>820</v>
      </c>
      <c r="O65" s="46" t="s">
        <v>821</v>
      </c>
      <c r="P65" s="50" t="s">
        <v>479</v>
      </c>
    </row>
    <row r="66" spans="1:16" ht="318.95" customHeight="1">
      <c r="A66" s="45">
        <v>63</v>
      </c>
      <c r="B66" s="45" t="s">
        <v>457</v>
      </c>
      <c r="C66" s="45" t="s">
        <v>480</v>
      </c>
      <c r="D66" s="45" t="s">
        <v>193</v>
      </c>
      <c r="E66" s="45" t="s">
        <v>278</v>
      </c>
      <c r="F66" s="45" t="s">
        <v>173</v>
      </c>
      <c r="G66" s="60">
        <v>0.1</v>
      </c>
      <c r="H66" s="45" t="s">
        <v>225</v>
      </c>
      <c r="I66" s="45" t="s">
        <v>822</v>
      </c>
      <c r="J66" s="45" t="s">
        <v>823</v>
      </c>
      <c r="K66" s="45" t="s">
        <v>482</v>
      </c>
      <c r="L66" s="62">
        <v>28</v>
      </c>
      <c r="M66" s="52" t="s">
        <v>824</v>
      </c>
      <c r="N66" s="46" t="s">
        <v>825</v>
      </c>
      <c r="O66" s="46" t="s">
        <v>826</v>
      </c>
      <c r="P66" s="50" t="s">
        <v>483</v>
      </c>
    </row>
    <row r="67" spans="1:16" ht="290.10000000000002" customHeight="1">
      <c r="A67" s="45">
        <v>64</v>
      </c>
      <c r="B67" s="45" t="s">
        <v>457</v>
      </c>
      <c r="C67" s="45" t="s">
        <v>484</v>
      </c>
      <c r="D67" s="45" t="s">
        <v>193</v>
      </c>
      <c r="E67" s="45" t="s">
        <v>278</v>
      </c>
      <c r="F67" s="45" t="s">
        <v>173</v>
      </c>
      <c r="G67" s="60">
        <v>0.05</v>
      </c>
      <c r="H67" s="45" t="s">
        <v>193</v>
      </c>
      <c r="I67" s="45" t="s">
        <v>827</v>
      </c>
      <c r="J67" s="45" t="s">
        <v>828</v>
      </c>
      <c r="K67" s="45" t="s">
        <v>485</v>
      </c>
      <c r="L67" s="62">
        <v>30</v>
      </c>
      <c r="M67" s="52" t="s">
        <v>829</v>
      </c>
      <c r="N67" s="46" t="s">
        <v>830</v>
      </c>
      <c r="O67" s="46" t="s">
        <v>831</v>
      </c>
      <c r="P67" s="50" t="s">
        <v>832</v>
      </c>
    </row>
    <row r="68" spans="1:16" ht="314.10000000000002" customHeight="1">
      <c r="A68" s="45">
        <v>65</v>
      </c>
      <c r="B68" s="45" t="s">
        <v>457</v>
      </c>
      <c r="C68" s="45" t="s">
        <v>487</v>
      </c>
      <c r="D68" s="45" t="s">
        <v>193</v>
      </c>
      <c r="E68" s="45" t="s">
        <v>278</v>
      </c>
      <c r="F68" s="45" t="s">
        <v>173</v>
      </c>
      <c r="G68" s="60">
        <v>0.05</v>
      </c>
      <c r="H68" s="45" t="s">
        <v>193</v>
      </c>
      <c r="I68" s="45" t="s">
        <v>833</v>
      </c>
      <c r="J68" s="45" t="s">
        <v>834</v>
      </c>
      <c r="K68" s="45" t="s">
        <v>490</v>
      </c>
      <c r="L68" s="62">
        <v>0</v>
      </c>
      <c r="M68" s="52" t="s">
        <v>835</v>
      </c>
      <c r="N68" s="46" t="s">
        <v>836</v>
      </c>
      <c r="O68" s="46" t="s">
        <v>837</v>
      </c>
      <c r="P68" s="50" t="s">
        <v>838</v>
      </c>
    </row>
    <row r="69" spans="1:16" ht="332.1" customHeight="1">
      <c r="A69" s="45">
        <v>66</v>
      </c>
      <c r="B69" s="45" t="s">
        <v>492</v>
      </c>
      <c r="C69" s="45" t="s">
        <v>493</v>
      </c>
      <c r="D69" s="45" t="s">
        <v>193</v>
      </c>
      <c r="E69" s="45" t="s">
        <v>231</v>
      </c>
      <c r="F69" s="45" t="s">
        <v>171</v>
      </c>
      <c r="G69" s="60">
        <v>0.35</v>
      </c>
      <c r="H69" s="45" t="s">
        <v>193</v>
      </c>
      <c r="I69" s="45" t="s">
        <v>839</v>
      </c>
      <c r="J69" s="45" t="s">
        <v>840</v>
      </c>
      <c r="K69" s="45" t="s">
        <v>496</v>
      </c>
      <c r="L69" s="61">
        <v>58</v>
      </c>
      <c r="M69" s="52" t="s">
        <v>841</v>
      </c>
      <c r="N69" s="46" t="s">
        <v>842</v>
      </c>
      <c r="O69" s="46" t="s">
        <v>843</v>
      </c>
      <c r="P69" s="50" t="s">
        <v>497</v>
      </c>
    </row>
    <row r="70" spans="1:16" ht="324.95" customHeight="1">
      <c r="A70" s="45">
        <v>67</v>
      </c>
      <c r="B70" s="45" t="s">
        <v>492</v>
      </c>
      <c r="C70" s="45" t="s">
        <v>498</v>
      </c>
      <c r="D70" s="45" t="s">
        <v>193</v>
      </c>
      <c r="E70" s="45" t="s">
        <v>313</v>
      </c>
      <c r="F70" s="45" t="s">
        <v>170</v>
      </c>
      <c r="G70" s="60">
        <v>0.2</v>
      </c>
      <c r="H70" s="45" t="s">
        <v>193</v>
      </c>
      <c r="I70" s="45" t="s">
        <v>844</v>
      </c>
      <c r="J70" s="45" t="s">
        <v>845</v>
      </c>
      <c r="K70" s="45" t="s">
        <v>499</v>
      </c>
      <c r="L70" s="64">
        <v>60</v>
      </c>
      <c r="M70" s="52" t="s">
        <v>846</v>
      </c>
      <c r="N70" s="46" t="s">
        <v>847</v>
      </c>
      <c r="O70" s="46" t="s">
        <v>848</v>
      </c>
      <c r="P70" s="50" t="s">
        <v>500</v>
      </c>
    </row>
    <row r="71" spans="1:16" ht="323.10000000000002" customHeight="1">
      <c r="A71" s="45">
        <v>68</v>
      </c>
      <c r="B71" s="45" t="s">
        <v>492</v>
      </c>
      <c r="C71" s="45" t="s">
        <v>501</v>
      </c>
      <c r="D71" s="45" t="s">
        <v>193</v>
      </c>
      <c r="E71" s="45" t="s">
        <v>313</v>
      </c>
      <c r="F71" s="45" t="s">
        <v>170</v>
      </c>
      <c r="G71" s="60">
        <v>0.25</v>
      </c>
      <c r="H71" s="45" t="s">
        <v>193</v>
      </c>
      <c r="I71" s="45" t="s">
        <v>849</v>
      </c>
      <c r="J71" s="45" t="s">
        <v>850</v>
      </c>
      <c r="K71" s="45" t="s">
        <v>503</v>
      </c>
      <c r="L71" s="61">
        <v>42</v>
      </c>
      <c r="M71" s="52" t="s">
        <v>851</v>
      </c>
      <c r="N71" s="46" t="s">
        <v>852</v>
      </c>
      <c r="O71" s="46" t="s">
        <v>853</v>
      </c>
      <c r="P71" s="50" t="s">
        <v>504</v>
      </c>
    </row>
  </sheetData>
  <autoFilter ref="A3:P71" xr:uid="{00000000-0009-0000-0000-000003000000}"/>
  <mergeCells count="1">
    <mergeCell ref="A1:P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1"/>
  <sheetViews>
    <sheetView workbookViewId="0">
      <pane xSplit="3" ySplit="3" topLeftCell="D32" activePane="bottomRight" state="frozen"/>
      <selection pane="bottomRight" activeCell="F60" sqref="F60"/>
      <selection pane="bottomLeft"/>
      <selection pane="topRight"/>
    </sheetView>
  </sheetViews>
  <sheetFormatPr defaultColWidth="8.85546875" defaultRowHeight="15"/>
  <cols>
    <col min="1" max="1" width="5" customWidth="1"/>
    <col min="2" max="2" width="16" customWidth="1"/>
    <col min="3" max="3" width="42" customWidth="1"/>
    <col min="4" max="4" width="9" customWidth="1"/>
    <col min="5" max="5" width="14" customWidth="1"/>
    <col min="6" max="6" width="50" customWidth="1"/>
    <col min="8" max="8" width="22" customWidth="1"/>
    <col min="9" max="9" width="14" customWidth="1"/>
  </cols>
  <sheetData>
    <row r="1" spans="1:9" ht="27.95" customHeight="1">
      <c r="A1" s="80" t="str">
        <f>CONCATENATE("Score Input — ", 'Snapshot Setup'!B6)</f>
        <v>Score Input — Lysol</v>
      </c>
      <c r="B1" s="81"/>
      <c r="C1" s="81"/>
      <c r="D1" s="81"/>
      <c r="E1" s="81"/>
      <c r="F1" s="81"/>
    </row>
    <row r="2" spans="1:9">
      <c r="A2" s="20" t="str">
        <f>CONCATENATE("Snapshot Date: ", TEXT('Snapshot Setup'!B4, "mmm yyyy"))</f>
        <v>Snapshot Date: Jun 2026</v>
      </c>
      <c r="H2" s="21" t="s">
        <v>854</v>
      </c>
    </row>
    <row r="3" spans="1:9">
      <c r="A3" s="9" t="s">
        <v>179</v>
      </c>
      <c r="B3" s="9" t="s">
        <v>180</v>
      </c>
      <c r="C3" s="9" t="s">
        <v>181</v>
      </c>
      <c r="D3" s="9" t="s">
        <v>182</v>
      </c>
      <c r="E3" s="9" t="s">
        <v>855</v>
      </c>
      <c r="F3" s="9" t="s">
        <v>146</v>
      </c>
      <c r="H3" s="10" t="s">
        <v>856</v>
      </c>
      <c r="I3" s="22">
        <v>53</v>
      </c>
    </row>
    <row r="4" spans="1:9" ht="200.1" customHeight="1">
      <c r="A4" s="44">
        <v>1</v>
      </c>
      <c r="B4" s="45" t="s">
        <v>191</v>
      </c>
      <c r="C4" s="45" t="s">
        <v>192</v>
      </c>
      <c r="D4" s="44" t="s">
        <v>193</v>
      </c>
      <c r="E4" s="68">
        <v>42</v>
      </c>
      <c r="F4" s="46" t="s">
        <v>513</v>
      </c>
      <c r="H4" s="10" t="s">
        <v>857</v>
      </c>
      <c r="I4" s="22">
        <f>SUMPRODUCT(--ISNUMBER(E4:E71))</f>
        <v>53</v>
      </c>
    </row>
    <row r="5" spans="1:9" ht="200.1" customHeight="1">
      <c r="A5" s="44">
        <v>2</v>
      </c>
      <c r="B5" s="45" t="s">
        <v>191</v>
      </c>
      <c r="C5" s="45" t="s">
        <v>199</v>
      </c>
      <c r="D5" s="44" t="s">
        <v>193</v>
      </c>
      <c r="E5" s="69">
        <v>24</v>
      </c>
      <c r="F5" s="46" t="s">
        <v>518</v>
      </c>
      <c r="H5" s="10" t="s">
        <v>858</v>
      </c>
      <c r="I5" s="24">
        <f>IFERROR(I4/I3,0)</f>
        <v>1</v>
      </c>
    </row>
    <row r="6" spans="1:9" ht="200.1" customHeight="1">
      <c r="A6" s="44">
        <v>3</v>
      </c>
      <c r="B6" s="45" t="s">
        <v>191</v>
      </c>
      <c r="C6" s="45" t="s">
        <v>204</v>
      </c>
      <c r="D6" s="44" t="s">
        <v>193</v>
      </c>
      <c r="E6" s="70">
        <v>84</v>
      </c>
      <c r="F6" s="46" t="s">
        <v>523</v>
      </c>
      <c r="H6" s="10" t="s">
        <v>859</v>
      </c>
      <c r="I6" s="22">
        <f>COUNTIFS(E4:E71,"&lt;0")+COUNTIFS(E4:E71,"&gt;100")</f>
        <v>0</v>
      </c>
    </row>
    <row r="7" spans="1:9" ht="200.1" customHeight="1">
      <c r="A7" s="44">
        <v>4</v>
      </c>
      <c r="B7" s="45" t="s">
        <v>191</v>
      </c>
      <c r="C7" s="45" t="s">
        <v>209</v>
      </c>
      <c r="D7" s="44" t="s">
        <v>193</v>
      </c>
      <c r="E7" s="70">
        <v>86</v>
      </c>
      <c r="F7" s="46" t="s">
        <v>528</v>
      </c>
    </row>
    <row r="8" spans="1:9" ht="200.1" customHeight="1">
      <c r="A8" s="44">
        <v>5</v>
      </c>
      <c r="B8" s="45" t="s">
        <v>191</v>
      </c>
      <c r="C8" s="45" t="s">
        <v>214</v>
      </c>
      <c r="D8" s="44" t="s">
        <v>193</v>
      </c>
      <c r="E8" s="70">
        <v>95</v>
      </c>
      <c r="F8" s="46" t="s">
        <v>533</v>
      </c>
    </row>
    <row r="9" spans="1:9" ht="200.1" customHeight="1">
      <c r="A9" s="44">
        <v>6</v>
      </c>
      <c r="B9" s="45" t="s">
        <v>191</v>
      </c>
      <c r="C9" s="45" t="s">
        <v>219</v>
      </c>
      <c r="D9" s="44" t="s">
        <v>193</v>
      </c>
      <c r="E9" s="69">
        <v>22</v>
      </c>
      <c r="F9" s="46" t="s">
        <v>537</v>
      </c>
    </row>
    <row r="10" spans="1:9" ht="200.1" customHeight="1">
      <c r="A10" s="44">
        <v>7</v>
      </c>
      <c r="B10" s="45" t="s">
        <v>191</v>
      </c>
      <c r="C10" s="45" t="s">
        <v>223</v>
      </c>
      <c r="D10" s="44" t="s">
        <v>193</v>
      </c>
      <c r="E10" s="71">
        <v>64</v>
      </c>
      <c r="F10" s="46" t="s">
        <v>542</v>
      </c>
    </row>
    <row r="11" spans="1:9" ht="200.1" customHeight="1">
      <c r="A11" s="44">
        <v>8</v>
      </c>
      <c r="B11" s="45" t="s">
        <v>191</v>
      </c>
      <c r="C11" s="45" t="s">
        <v>230</v>
      </c>
      <c r="D11" s="44" t="s">
        <v>193</v>
      </c>
      <c r="E11" s="71">
        <v>68</v>
      </c>
      <c r="F11" s="46" t="s">
        <v>546</v>
      </c>
    </row>
    <row r="12" spans="1:9" ht="200.1" customHeight="1">
      <c r="A12" s="72">
        <v>9</v>
      </c>
      <c r="B12" s="53" t="s">
        <v>191</v>
      </c>
      <c r="C12" s="53" t="s">
        <v>236</v>
      </c>
      <c r="D12" s="72" t="s">
        <v>860</v>
      </c>
      <c r="E12" s="73"/>
      <c r="F12" s="67" t="s">
        <v>552</v>
      </c>
    </row>
    <row r="13" spans="1:9" ht="200.1" customHeight="1">
      <c r="A13" s="44">
        <v>10</v>
      </c>
      <c r="B13" s="45" t="s">
        <v>191</v>
      </c>
      <c r="C13" s="45" t="s">
        <v>240</v>
      </c>
      <c r="D13" s="44" t="s">
        <v>193</v>
      </c>
      <c r="E13" s="68">
        <v>56</v>
      </c>
      <c r="F13" s="46" t="s">
        <v>557</v>
      </c>
    </row>
    <row r="14" spans="1:9" ht="200.1" customHeight="1">
      <c r="A14" s="44">
        <v>11</v>
      </c>
      <c r="B14" s="45" t="s">
        <v>191</v>
      </c>
      <c r="C14" s="45" t="s">
        <v>246</v>
      </c>
      <c r="D14" s="44" t="s">
        <v>193</v>
      </c>
      <c r="E14" s="68">
        <v>54</v>
      </c>
      <c r="F14" s="46" t="s">
        <v>562</v>
      </c>
    </row>
    <row r="15" spans="1:9" ht="200.1" customHeight="1">
      <c r="A15" s="44">
        <v>12</v>
      </c>
      <c r="B15" s="45" t="s">
        <v>191</v>
      </c>
      <c r="C15" s="45" t="s">
        <v>250</v>
      </c>
      <c r="D15" s="44" t="s">
        <v>193</v>
      </c>
      <c r="E15" s="71">
        <v>68</v>
      </c>
      <c r="F15" s="46" t="s">
        <v>567</v>
      </c>
    </row>
    <row r="16" spans="1:9" ht="200.1" customHeight="1">
      <c r="A16" s="44">
        <v>13</v>
      </c>
      <c r="B16" s="45" t="s">
        <v>191</v>
      </c>
      <c r="C16" s="45" t="s">
        <v>256</v>
      </c>
      <c r="D16" s="44" t="s">
        <v>193</v>
      </c>
      <c r="E16" s="71">
        <v>66</v>
      </c>
      <c r="F16" s="46" t="s">
        <v>572</v>
      </c>
    </row>
    <row r="17" spans="1:6" ht="200.1" customHeight="1">
      <c r="A17" s="72">
        <v>14</v>
      </c>
      <c r="B17" s="53" t="s">
        <v>191</v>
      </c>
      <c r="C17" s="53" t="s">
        <v>261</v>
      </c>
      <c r="D17" s="72" t="s">
        <v>262</v>
      </c>
      <c r="E17" s="73"/>
      <c r="F17" s="67" t="s">
        <v>577</v>
      </c>
    </row>
    <row r="18" spans="1:6" ht="200.1" customHeight="1">
      <c r="A18" s="72">
        <v>15</v>
      </c>
      <c r="B18" s="53" t="s">
        <v>191</v>
      </c>
      <c r="C18" s="53" t="s">
        <v>267</v>
      </c>
      <c r="D18" s="72" t="s">
        <v>262</v>
      </c>
      <c r="E18" s="73"/>
      <c r="F18" s="67" t="s">
        <v>582</v>
      </c>
    </row>
    <row r="19" spans="1:6" ht="200.1" customHeight="1">
      <c r="A19" s="44">
        <v>16</v>
      </c>
      <c r="B19" s="45" t="s">
        <v>191</v>
      </c>
      <c r="C19" s="45" t="s">
        <v>272</v>
      </c>
      <c r="D19" s="44" t="s">
        <v>193</v>
      </c>
      <c r="E19" s="71">
        <v>62</v>
      </c>
      <c r="F19" s="46" t="s">
        <v>587</v>
      </c>
    </row>
    <row r="20" spans="1:6" ht="200.1" customHeight="1">
      <c r="A20" s="44">
        <v>17</v>
      </c>
      <c r="B20" s="45" t="s">
        <v>191</v>
      </c>
      <c r="C20" s="45" t="s">
        <v>277</v>
      </c>
      <c r="D20" s="44" t="s">
        <v>193</v>
      </c>
      <c r="E20" s="68">
        <v>54</v>
      </c>
      <c r="F20" s="46" t="s">
        <v>592</v>
      </c>
    </row>
    <row r="21" spans="1:6" ht="200.1" customHeight="1">
      <c r="A21" s="44">
        <v>18</v>
      </c>
      <c r="B21" s="45" t="s">
        <v>191</v>
      </c>
      <c r="C21" s="45" t="s">
        <v>283</v>
      </c>
      <c r="D21" s="44" t="s">
        <v>193</v>
      </c>
      <c r="E21" s="71">
        <v>66</v>
      </c>
      <c r="F21" s="46" t="s">
        <v>597</v>
      </c>
    </row>
    <row r="22" spans="1:6" ht="200.1" customHeight="1">
      <c r="A22" s="44">
        <v>19</v>
      </c>
      <c r="B22" s="45" t="s">
        <v>191</v>
      </c>
      <c r="C22" s="45" t="s">
        <v>288</v>
      </c>
      <c r="D22" s="44" t="s">
        <v>193</v>
      </c>
      <c r="E22" s="71">
        <v>60</v>
      </c>
      <c r="F22" s="46" t="s">
        <v>601</v>
      </c>
    </row>
    <row r="23" spans="1:6" ht="200.1" customHeight="1">
      <c r="A23" s="44">
        <v>20</v>
      </c>
      <c r="B23" s="45" t="s">
        <v>191</v>
      </c>
      <c r="C23" s="45" t="s">
        <v>292</v>
      </c>
      <c r="D23" s="44" t="s">
        <v>193</v>
      </c>
      <c r="E23" s="68">
        <v>58</v>
      </c>
      <c r="F23" s="46" t="s">
        <v>606</v>
      </c>
    </row>
    <row r="24" spans="1:6" ht="200.1" customHeight="1">
      <c r="A24" s="44">
        <v>21</v>
      </c>
      <c r="B24" s="45" t="s">
        <v>191</v>
      </c>
      <c r="C24" s="45" t="s">
        <v>297</v>
      </c>
      <c r="D24" s="44" t="s">
        <v>193</v>
      </c>
      <c r="E24" s="68">
        <v>48</v>
      </c>
      <c r="F24" s="46" t="s">
        <v>611</v>
      </c>
    </row>
    <row r="25" spans="1:6" ht="200.1" customHeight="1">
      <c r="A25" s="44">
        <v>22</v>
      </c>
      <c r="B25" s="45" t="s">
        <v>191</v>
      </c>
      <c r="C25" s="45" t="s">
        <v>302</v>
      </c>
      <c r="D25" s="44" t="s">
        <v>193</v>
      </c>
      <c r="E25" s="68">
        <v>50</v>
      </c>
      <c r="F25" s="46" t="s">
        <v>616</v>
      </c>
    </row>
    <row r="26" spans="1:6" ht="200.1" customHeight="1">
      <c r="A26" s="44">
        <v>23</v>
      </c>
      <c r="B26" s="45" t="s">
        <v>191</v>
      </c>
      <c r="C26" s="45" t="s">
        <v>307</v>
      </c>
      <c r="D26" s="44" t="s">
        <v>193</v>
      </c>
      <c r="E26" s="68">
        <v>56</v>
      </c>
      <c r="F26" s="46" t="s">
        <v>621</v>
      </c>
    </row>
    <row r="27" spans="1:6" ht="200.1" customHeight="1">
      <c r="A27" s="44">
        <v>24</v>
      </c>
      <c r="B27" s="45" t="s">
        <v>191</v>
      </c>
      <c r="C27" s="45" t="s">
        <v>312</v>
      </c>
      <c r="D27" s="44" t="s">
        <v>193</v>
      </c>
      <c r="E27" s="69">
        <v>36</v>
      </c>
      <c r="F27" s="46" t="s">
        <v>626</v>
      </c>
    </row>
    <row r="28" spans="1:6" ht="200.1" customHeight="1">
      <c r="A28" s="44">
        <v>25</v>
      </c>
      <c r="B28" s="45" t="s">
        <v>191</v>
      </c>
      <c r="C28" s="45" t="s">
        <v>318</v>
      </c>
      <c r="D28" s="44" t="s">
        <v>193</v>
      </c>
      <c r="E28" s="68">
        <v>45</v>
      </c>
      <c r="F28" s="46" t="s">
        <v>631</v>
      </c>
    </row>
    <row r="29" spans="1:6" ht="200.1" customHeight="1">
      <c r="A29" s="44">
        <v>26</v>
      </c>
      <c r="B29" s="45" t="s">
        <v>323</v>
      </c>
      <c r="C29" s="45" t="s">
        <v>324</v>
      </c>
      <c r="D29" s="44" t="s">
        <v>193</v>
      </c>
      <c r="E29" s="68">
        <v>58</v>
      </c>
      <c r="F29" s="46" t="s">
        <v>636</v>
      </c>
    </row>
    <row r="30" spans="1:6" ht="200.1" customHeight="1">
      <c r="A30" s="44">
        <v>27</v>
      </c>
      <c r="B30" s="45" t="s">
        <v>323</v>
      </c>
      <c r="C30" s="45" t="s">
        <v>329</v>
      </c>
      <c r="D30" s="44" t="s">
        <v>193</v>
      </c>
      <c r="E30" s="68">
        <v>52</v>
      </c>
      <c r="F30" s="46" t="s">
        <v>641</v>
      </c>
    </row>
    <row r="31" spans="1:6" ht="200.1" customHeight="1">
      <c r="A31" s="44">
        <v>28</v>
      </c>
      <c r="B31" s="45" t="s">
        <v>323</v>
      </c>
      <c r="C31" s="45" t="s">
        <v>333</v>
      </c>
      <c r="D31" s="44" t="s">
        <v>193</v>
      </c>
      <c r="E31" s="68">
        <v>54</v>
      </c>
      <c r="F31" s="46" t="s">
        <v>647</v>
      </c>
    </row>
    <row r="32" spans="1:6" ht="216.95" customHeight="1">
      <c r="A32" s="72">
        <v>29</v>
      </c>
      <c r="B32" s="53" t="s">
        <v>323</v>
      </c>
      <c r="C32" s="53" t="s">
        <v>339</v>
      </c>
      <c r="D32" s="72" t="s">
        <v>262</v>
      </c>
      <c r="E32" s="73"/>
      <c r="F32" s="67" t="s">
        <v>652</v>
      </c>
    </row>
    <row r="33" spans="1:6" ht="200.1" customHeight="1">
      <c r="A33" s="44">
        <v>30</v>
      </c>
      <c r="B33" s="45" t="s">
        <v>323</v>
      </c>
      <c r="C33" s="45" t="s">
        <v>343</v>
      </c>
      <c r="D33" s="44" t="s">
        <v>193</v>
      </c>
      <c r="E33" s="71">
        <v>64</v>
      </c>
      <c r="F33" s="46" t="s">
        <v>657</v>
      </c>
    </row>
    <row r="34" spans="1:6" ht="200.1" customHeight="1">
      <c r="A34" s="44">
        <v>31</v>
      </c>
      <c r="B34" s="45" t="s">
        <v>323</v>
      </c>
      <c r="C34" s="45" t="s">
        <v>347</v>
      </c>
      <c r="D34" s="44" t="s">
        <v>193</v>
      </c>
      <c r="E34" s="71">
        <v>62</v>
      </c>
      <c r="F34" s="46" t="s">
        <v>662</v>
      </c>
    </row>
    <row r="35" spans="1:6" ht="200.1" customHeight="1">
      <c r="A35" s="44">
        <v>32</v>
      </c>
      <c r="B35" s="45" t="s">
        <v>323</v>
      </c>
      <c r="C35" s="45" t="s">
        <v>352</v>
      </c>
      <c r="D35" s="44" t="s">
        <v>193</v>
      </c>
      <c r="E35" s="71">
        <v>62</v>
      </c>
      <c r="F35" s="46" t="s">
        <v>666</v>
      </c>
    </row>
    <row r="36" spans="1:6" ht="200.1" customHeight="1">
      <c r="A36" s="44">
        <v>33</v>
      </c>
      <c r="B36" s="45" t="s">
        <v>323</v>
      </c>
      <c r="C36" s="45" t="s">
        <v>358</v>
      </c>
      <c r="D36" s="44" t="s">
        <v>193</v>
      </c>
      <c r="E36" s="68">
        <v>48</v>
      </c>
      <c r="F36" s="46" t="s">
        <v>671</v>
      </c>
    </row>
    <row r="37" spans="1:6" ht="200.1" customHeight="1">
      <c r="A37" s="44">
        <v>34</v>
      </c>
      <c r="B37" s="45" t="s">
        <v>323</v>
      </c>
      <c r="C37" s="45" t="s">
        <v>363</v>
      </c>
      <c r="D37" s="44" t="s">
        <v>193</v>
      </c>
      <c r="E37" s="68">
        <v>50</v>
      </c>
      <c r="F37" s="46" t="s">
        <v>676</v>
      </c>
    </row>
    <row r="38" spans="1:6" ht="200.1" customHeight="1">
      <c r="A38" s="44">
        <v>35</v>
      </c>
      <c r="B38" s="45" t="s">
        <v>323</v>
      </c>
      <c r="C38" s="45" t="s">
        <v>369</v>
      </c>
      <c r="D38" s="44" t="s">
        <v>193</v>
      </c>
      <c r="E38" s="71">
        <v>60</v>
      </c>
      <c r="F38" s="46" t="s">
        <v>681</v>
      </c>
    </row>
    <row r="39" spans="1:6" ht="200.1" customHeight="1">
      <c r="A39" s="44">
        <v>36</v>
      </c>
      <c r="B39" s="45" t="s">
        <v>323</v>
      </c>
      <c r="C39" s="45" t="s">
        <v>372</v>
      </c>
      <c r="D39" s="44" t="s">
        <v>193</v>
      </c>
      <c r="E39" s="68">
        <v>49</v>
      </c>
      <c r="F39" s="46" t="s">
        <v>686</v>
      </c>
    </row>
    <row r="40" spans="1:6" ht="200.1" customHeight="1">
      <c r="A40" s="44">
        <v>37</v>
      </c>
      <c r="B40" s="45" t="s">
        <v>323</v>
      </c>
      <c r="C40" s="45" t="s">
        <v>377</v>
      </c>
      <c r="D40" s="44" t="s">
        <v>193</v>
      </c>
      <c r="E40" s="68">
        <v>48</v>
      </c>
      <c r="F40" s="46" t="s">
        <v>691</v>
      </c>
    </row>
    <row r="41" spans="1:6" ht="200.1" customHeight="1">
      <c r="A41" s="44">
        <v>38</v>
      </c>
      <c r="B41" s="45" t="s">
        <v>323</v>
      </c>
      <c r="C41" s="45" t="s">
        <v>381</v>
      </c>
      <c r="D41" s="44" t="s">
        <v>193</v>
      </c>
      <c r="E41" s="68">
        <v>50</v>
      </c>
      <c r="F41" s="46" t="s">
        <v>696</v>
      </c>
    </row>
    <row r="42" spans="1:6" ht="200.1" customHeight="1">
      <c r="A42" s="44">
        <v>39</v>
      </c>
      <c r="B42" s="45" t="s">
        <v>323</v>
      </c>
      <c r="C42" s="45" t="s">
        <v>384</v>
      </c>
      <c r="D42" s="44" t="s">
        <v>193</v>
      </c>
      <c r="E42" s="68">
        <v>52</v>
      </c>
      <c r="F42" s="46" t="s">
        <v>702</v>
      </c>
    </row>
    <row r="43" spans="1:6" ht="200.1" customHeight="1">
      <c r="A43" s="44">
        <v>40</v>
      </c>
      <c r="B43" s="45" t="s">
        <v>323</v>
      </c>
      <c r="C43" s="45" t="s">
        <v>388</v>
      </c>
      <c r="D43" s="44" t="s">
        <v>193</v>
      </c>
      <c r="E43" s="68">
        <v>48</v>
      </c>
      <c r="F43" s="46" t="s">
        <v>707</v>
      </c>
    </row>
    <row r="44" spans="1:6" ht="200.1" customHeight="1">
      <c r="A44" s="44">
        <v>41</v>
      </c>
      <c r="B44" s="45" t="s">
        <v>323</v>
      </c>
      <c r="C44" s="45" t="s">
        <v>393</v>
      </c>
      <c r="D44" s="44" t="s">
        <v>193</v>
      </c>
      <c r="E44" s="69">
        <v>38</v>
      </c>
      <c r="F44" s="46" t="s">
        <v>712</v>
      </c>
    </row>
    <row r="45" spans="1:6" ht="200.1" customHeight="1">
      <c r="A45" s="44">
        <v>42</v>
      </c>
      <c r="B45" s="45" t="s">
        <v>323</v>
      </c>
      <c r="C45" s="45" t="s">
        <v>398</v>
      </c>
      <c r="D45" s="44" t="s">
        <v>193</v>
      </c>
      <c r="E45" s="68">
        <v>55</v>
      </c>
      <c r="F45" s="46" t="s">
        <v>717</v>
      </c>
    </row>
    <row r="46" spans="1:6" ht="200.1" customHeight="1">
      <c r="A46" s="44">
        <v>43</v>
      </c>
      <c r="B46" s="45" t="s">
        <v>323</v>
      </c>
      <c r="C46" s="45" t="s">
        <v>403</v>
      </c>
      <c r="D46" s="44" t="s">
        <v>193</v>
      </c>
      <c r="E46" s="68">
        <v>50</v>
      </c>
      <c r="F46" s="46" t="s">
        <v>722</v>
      </c>
    </row>
    <row r="47" spans="1:6" ht="200.1" customHeight="1">
      <c r="A47" s="72">
        <v>44</v>
      </c>
      <c r="B47" s="53" t="s">
        <v>323</v>
      </c>
      <c r="C47" s="53" t="s">
        <v>407</v>
      </c>
      <c r="D47" s="72" t="s">
        <v>262</v>
      </c>
      <c r="E47" s="73"/>
      <c r="F47" s="67" t="s">
        <v>727</v>
      </c>
    </row>
    <row r="48" spans="1:6" ht="200.1" customHeight="1">
      <c r="A48" s="44">
        <v>45</v>
      </c>
      <c r="B48" s="45" t="s">
        <v>323</v>
      </c>
      <c r="C48" s="45" t="s">
        <v>411</v>
      </c>
      <c r="D48" s="44" t="s">
        <v>193</v>
      </c>
      <c r="E48" s="68">
        <v>52</v>
      </c>
      <c r="F48" s="46" t="s">
        <v>732</v>
      </c>
    </row>
    <row r="49" spans="1:6" ht="200.1" customHeight="1">
      <c r="A49" s="44">
        <v>46</v>
      </c>
      <c r="B49" s="45" t="s">
        <v>416</v>
      </c>
      <c r="C49" s="45" t="s">
        <v>417</v>
      </c>
      <c r="D49" s="44" t="s">
        <v>193</v>
      </c>
      <c r="E49" s="68">
        <v>44</v>
      </c>
      <c r="F49" s="46" t="s">
        <v>737</v>
      </c>
    </row>
    <row r="50" spans="1:6" ht="200.1" customHeight="1">
      <c r="A50" s="72">
        <v>47</v>
      </c>
      <c r="B50" s="53" t="s">
        <v>416</v>
      </c>
      <c r="C50" s="53" t="s">
        <v>422</v>
      </c>
      <c r="D50" s="72" t="s">
        <v>262</v>
      </c>
      <c r="E50" s="73"/>
      <c r="F50" s="67" t="s">
        <v>742</v>
      </c>
    </row>
    <row r="51" spans="1:6" ht="200.1" customHeight="1">
      <c r="A51" s="72">
        <v>48</v>
      </c>
      <c r="B51" s="53" t="s">
        <v>416</v>
      </c>
      <c r="C51" s="53" t="s">
        <v>426</v>
      </c>
      <c r="D51" s="72" t="s">
        <v>262</v>
      </c>
      <c r="E51" s="73"/>
      <c r="F51" s="67" t="s">
        <v>747</v>
      </c>
    </row>
    <row r="52" spans="1:6" ht="200.1" customHeight="1">
      <c r="A52" s="72">
        <v>49</v>
      </c>
      <c r="B52" s="53" t="s">
        <v>416</v>
      </c>
      <c r="C52" s="53" t="s">
        <v>429</v>
      </c>
      <c r="D52" s="72" t="s">
        <v>262</v>
      </c>
      <c r="E52" s="73"/>
      <c r="F52" s="67" t="s">
        <v>752</v>
      </c>
    </row>
    <row r="53" spans="1:6" ht="200.1" customHeight="1">
      <c r="A53" s="72">
        <v>50</v>
      </c>
      <c r="B53" s="53" t="s">
        <v>416</v>
      </c>
      <c r="C53" s="53" t="s">
        <v>432</v>
      </c>
      <c r="D53" s="72" t="s">
        <v>262</v>
      </c>
      <c r="E53" s="73"/>
      <c r="F53" s="67" t="s">
        <v>757</v>
      </c>
    </row>
    <row r="54" spans="1:6" ht="200.1" customHeight="1">
      <c r="A54" s="72">
        <v>51</v>
      </c>
      <c r="B54" s="53" t="s">
        <v>416</v>
      </c>
      <c r="C54" s="53" t="s">
        <v>436</v>
      </c>
      <c r="D54" s="72" t="s">
        <v>262</v>
      </c>
      <c r="E54" s="73"/>
      <c r="F54" s="67" t="s">
        <v>762</v>
      </c>
    </row>
    <row r="55" spans="1:6" ht="200.1" customHeight="1">
      <c r="A55" s="72">
        <v>52</v>
      </c>
      <c r="B55" s="53" t="s">
        <v>416</v>
      </c>
      <c r="C55" s="53" t="s">
        <v>439</v>
      </c>
      <c r="D55" s="72" t="s">
        <v>262</v>
      </c>
      <c r="E55" s="73"/>
      <c r="F55" s="67" t="s">
        <v>767</v>
      </c>
    </row>
    <row r="56" spans="1:6" ht="200.1" customHeight="1">
      <c r="A56" s="72">
        <v>53</v>
      </c>
      <c r="B56" s="53" t="s">
        <v>416</v>
      </c>
      <c r="C56" s="53" t="s">
        <v>442</v>
      </c>
      <c r="D56" s="72" t="s">
        <v>262</v>
      </c>
      <c r="E56" s="73"/>
      <c r="F56" s="67" t="s">
        <v>772</v>
      </c>
    </row>
    <row r="57" spans="1:6" ht="200.1" customHeight="1">
      <c r="A57" s="72">
        <v>54</v>
      </c>
      <c r="B57" s="53" t="s">
        <v>416</v>
      </c>
      <c r="C57" s="53" t="s">
        <v>445</v>
      </c>
      <c r="D57" s="72" t="s">
        <v>262</v>
      </c>
      <c r="E57" s="73"/>
      <c r="F57" s="67" t="s">
        <v>777</v>
      </c>
    </row>
    <row r="58" spans="1:6" ht="200.1" customHeight="1">
      <c r="A58" s="72">
        <v>55</v>
      </c>
      <c r="B58" s="53" t="s">
        <v>416</v>
      </c>
      <c r="C58" s="53" t="s">
        <v>448</v>
      </c>
      <c r="D58" s="72" t="s">
        <v>193</v>
      </c>
      <c r="E58" s="73"/>
      <c r="F58" s="67" t="s">
        <v>782</v>
      </c>
    </row>
    <row r="59" spans="1:6" ht="200.1" customHeight="1">
      <c r="A59" s="44">
        <v>56</v>
      </c>
      <c r="B59" s="45" t="s">
        <v>416</v>
      </c>
      <c r="C59" s="45" t="s">
        <v>452</v>
      </c>
      <c r="D59" s="44" t="s">
        <v>193</v>
      </c>
      <c r="E59" s="68">
        <v>46</v>
      </c>
      <c r="F59" s="46" t="s">
        <v>787</v>
      </c>
    </row>
    <row r="60" spans="1:6" ht="200.1" customHeight="1">
      <c r="A60" s="44">
        <v>57</v>
      </c>
      <c r="B60" s="45" t="s">
        <v>457</v>
      </c>
      <c r="C60" s="45" t="s">
        <v>458</v>
      </c>
      <c r="D60" s="44" t="s">
        <v>193</v>
      </c>
      <c r="E60" s="71">
        <v>62</v>
      </c>
      <c r="F60" s="46" t="s">
        <v>791</v>
      </c>
    </row>
    <row r="61" spans="1:6" ht="218.1" customHeight="1">
      <c r="A61" s="72">
        <v>58</v>
      </c>
      <c r="B61" s="53" t="s">
        <v>457</v>
      </c>
      <c r="C61" s="53" t="s">
        <v>462</v>
      </c>
      <c r="D61" s="72" t="s">
        <v>262</v>
      </c>
      <c r="E61" s="73"/>
      <c r="F61" s="67" t="s">
        <v>797</v>
      </c>
    </row>
    <row r="62" spans="1:6" ht="200.1" customHeight="1">
      <c r="A62" s="44">
        <v>59</v>
      </c>
      <c r="B62" s="45" t="s">
        <v>457</v>
      </c>
      <c r="C62" s="45" t="s">
        <v>465</v>
      </c>
      <c r="D62" s="44" t="s">
        <v>193</v>
      </c>
      <c r="E62" s="69">
        <v>30</v>
      </c>
      <c r="F62" s="46" t="s">
        <v>803</v>
      </c>
    </row>
    <row r="63" spans="1:6" ht="200.1" customHeight="1">
      <c r="A63" s="44">
        <v>60</v>
      </c>
      <c r="B63" s="45" t="s">
        <v>457</v>
      </c>
      <c r="C63" s="45" t="s">
        <v>469</v>
      </c>
      <c r="D63" s="44" t="s">
        <v>193</v>
      </c>
      <c r="E63" s="69">
        <v>24</v>
      </c>
      <c r="F63" s="46" t="s">
        <v>809</v>
      </c>
    </row>
    <row r="64" spans="1:6" ht="200.1" customHeight="1">
      <c r="A64" s="44">
        <v>61</v>
      </c>
      <c r="B64" s="45" t="s">
        <v>457</v>
      </c>
      <c r="C64" s="45" t="s">
        <v>473</v>
      </c>
      <c r="D64" s="44" t="s">
        <v>193</v>
      </c>
      <c r="E64" s="69">
        <v>34</v>
      </c>
      <c r="F64" s="46" t="s">
        <v>814</v>
      </c>
    </row>
    <row r="65" spans="1:6" ht="200.1" customHeight="1">
      <c r="A65" s="44">
        <v>62</v>
      </c>
      <c r="B65" s="45" t="s">
        <v>457</v>
      </c>
      <c r="C65" s="45" t="s">
        <v>476</v>
      </c>
      <c r="D65" s="44" t="s">
        <v>193</v>
      </c>
      <c r="E65" s="69">
        <v>20</v>
      </c>
      <c r="F65" s="46" t="s">
        <v>820</v>
      </c>
    </row>
    <row r="66" spans="1:6" ht="200.1" customHeight="1">
      <c r="A66" s="44">
        <v>63</v>
      </c>
      <c r="B66" s="45" t="s">
        <v>457</v>
      </c>
      <c r="C66" s="45" t="s">
        <v>480</v>
      </c>
      <c r="D66" s="44" t="s">
        <v>193</v>
      </c>
      <c r="E66" s="69">
        <v>28</v>
      </c>
      <c r="F66" s="46" t="s">
        <v>825</v>
      </c>
    </row>
    <row r="67" spans="1:6" ht="200.1" customHeight="1">
      <c r="A67" s="44">
        <v>64</v>
      </c>
      <c r="B67" s="45" t="s">
        <v>457</v>
      </c>
      <c r="C67" s="45" t="s">
        <v>484</v>
      </c>
      <c r="D67" s="44" t="s">
        <v>193</v>
      </c>
      <c r="E67" s="69">
        <v>30</v>
      </c>
      <c r="F67" s="46" t="s">
        <v>830</v>
      </c>
    </row>
    <row r="68" spans="1:6" ht="200.1" customHeight="1">
      <c r="A68" s="44">
        <v>65</v>
      </c>
      <c r="B68" s="45" t="s">
        <v>457</v>
      </c>
      <c r="C68" s="45" t="s">
        <v>487</v>
      </c>
      <c r="D68" s="44" t="s">
        <v>193</v>
      </c>
      <c r="E68" s="69">
        <v>0</v>
      </c>
      <c r="F68" s="46" t="s">
        <v>836</v>
      </c>
    </row>
    <row r="69" spans="1:6" ht="200.1" customHeight="1">
      <c r="A69" s="44">
        <v>66</v>
      </c>
      <c r="B69" s="45" t="s">
        <v>492</v>
      </c>
      <c r="C69" s="45" t="s">
        <v>493</v>
      </c>
      <c r="D69" s="44" t="s">
        <v>193</v>
      </c>
      <c r="E69" s="68">
        <v>58</v>
      </c>
      <c r="F69" s="46" t="s">
        <v>842</v>
      </c>
    </row>
    <row r="70" spans="1:6" ht="200.1" customHeight="1">
      <c r="A70" s="44">
        <v>67</v>
      </c>
      <c r="B70" s="45" t="s">
        <v>492</v>
      </c>
      <c r="C70" s="45" t="s">
        <v>498</v>
      </c>
      <c r="D70" s="44" t="s">
        <v>193</v>
      </c>
      <c r="E70" s="71">
        <v>60</v>
      </c>
      <c r="F70" s="46" t="s">
        <v>847</v>
      </c>
    </row>
    <row r="71" spans="1:6" ht="200.1" customHeight="1">
      <c r="A71" s="44">
        <v>68</v>
      </c>
      <c r="B71" s="45" t="s">
        <v>492</v>
      </c>
      <c r="C71" s="45" t="s">
        <v>501</v>
      </c>
      <c r="D71" s="44" t="s">
        <v>193</v>
      </c>
      <c r="E71" s="68">
        <v>42</v>
      </c>
      <c r="F71" s="46" t="s">
        <v>852</v>
      </c>
    </row>
  </sheetData>
  <autoFilter ref="A3:F71" xr:uid="{00000000-0009-0000-0000-000004000000}"/>
  <mergeCells count="1">
    <mergeCell ref="A1:F1"/>
  </mergeCells>
  <conditionalFormatting sqref="E4:E71">
    <cfRule type="colorScale" priority="1">
      <colorScale>
        <cfvo type="num" val="0"/>
        <cfvo type="num" val="50"/>
        <cfvo type="num" val="100"/>
        <color rgb="FFE85D5D"/>
        <color rgb="FFFFEB99"/>
        <color rgb="FF7BC97B"/>
      </colorScale>
    </cfRule>
  </conditionalFormatting>
  <dataValidations count="1">
    <dataValidation type="decimal" allowBlank="1" errorTitle="Invalid score" error="Score must be a number between 0 and 100, or blank." sqref="E4 E5 E6 E7 E8 E9 E10 E11 E12 E13 E14 E15 E16 E17 E18 E19 E20 E21 E22 E23 E24 E25 E26 E27 E28 E29 E30 E31 E32 E33 E34 E35 E36 E37 E38 E39 E40 E41 E42 E43 E44 E45 E46 E47 E48 E49 E50 E51 E52 E53 E54 E55 E56 E57 E58 E59 E60 E61 E62 E63 E64 E65 E66 E67 E68 E69 E70 E71" xr:uid="{00000000-0002-0000-0400-000000000000}">
      <formula1>0</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1"/>
  <sheetViews>
    <sheetView workbookViewId="0">
      <pane xSplit="3" ySplit="3" topLeftCell="D22" activePane="bottomRight" state="frozen"/>
      <selection pane="bottomRight" activeCell="E5" sqref="E5"/>
      <selection pane="bottomLeft"/>
      <selection pane="topRight"/>
    </sheetView>
  </sheetViews>
  <sheetFormatPr defaultColWidth="8.85546875" defaultRowHeight="15"/>
  <cols>
    <col min="1" max="1" width="5" customWidth="1"/>
    <col min="2" max="2" width="16" customWidth="1"/>
    <col min="3" max="3" width="42" customWidth="1"/>
    <col min="4" max="4" width="9" customWidth="1"/>
    <col min="5" max="5" width="14" customWidth="1"/>
    <col min="6" max="6" width="50" customWidth="1"/>
    <col min="8" max="8" width="22" customWidth="1"/>
    <col min="9" max="9" width="14" customWidth="1"/>
  </cols>
  <sheetData>
    <row r="1" spans="1:9" ht="27.95" customHeight="1">
      <c r="A1" s="80" t="str">
        <f>CONCATENATE("Score Input — ", 'Snapshot Setup'!B7)</f>
        <v>Score Input — Clorox Portfolio (Clorox, Pine-Sol, Purell)</v>
      </c>
      <c r="B1" s="81"/>
      <c r="C1" s="81"/>
      <c r="D1" s="81"/>
      <c r="E1" s="81"/>
      <c r="F1" s="81"/>
    </row>
    <row r="2" spans="1:9">
      <c r="A2" s="20" t="str">
        <f>CONCATENATE("Snapshot Date: ", TEXT('Snapshot Setup'!B4, "mmm yyyy"))</f>
        <v>Snapshot Date: Jun 2026</v>
      </c>
      <c r="H2" s="21" t="s">
        <v>854</v>
      </c>
    </row>
    <row r="3" spans="1:9">
      <c r="A3" s="9" t="s">
        <v>179</v>
      </c>
      <c r="B3" s="9" t="s">
        <v>180</v>
      </c>
      <c r="C3" s="9" t="s">
        <v>181</v>
      </c>
      <c r="D3" s="9" t="s">
        <v>182</v>
      </c>
      <c r="E3" s="9" t="s">
        <v>855</v>
      </c>
      <c r="F3" s="9" t="s">
        <v>146</v>
      </c>
      <c r="H3" s="10" t="s">
        <v>856</v>
      </c>
      <c r="I3" s="22">
        <v>53</v>
      </c>
    </row>
    <row r="4" spans="1:9" ht="180" customHeight="1">
      <c r="A4" s="44">
        <v>1</v>
      </c>
      <c r="B4" s="45" t="s">
        <v>191</v>
      </c>
      <c r="C4" s="45" t="s">
        <v>192</v>
      </c>
      <c r="D4" s="44" t="s">
        <v>193</v>
      </c>
      <c r="E4" s="74">
        <v>88</v>
      </c>
      <c r="F4" s="46" t="s">
        <v>861</v>
      </c>
      <c r="H4" s="10" t="s">
        <v>857</v>
      </c>
      <c r="I4" s="22">
        <f>SUMPRODUCT(--ISNUMBER(E4:E71))</f>
        <v>53</v>
      </c>
    </row>
    <row r="5" spans="1:9" ht="180" customHeight="1">
      <c r="A5" s="44">
        <v>2</v>
      </c>
      <c r="B5" s="45" t="s">
        <v>191</v>
      </c>
      <c r="C5" s="45" t="s">
        <v>199</v>
      </c>
      <c r="D5" s="44" t="s">
        <v>193</v>
      </c>
      <c r="E5" s="75">
        <v>58</v>
      </c>
      <c r="F5" s="46" t="s">
        <v>862</v>
      </c>
      <c r="H5" s="10" t="s">
        <v>858</v>
      </c>
      <c r="I5" s="24">
        <f>IFERROR(I4/I3,0)</f>
        <v>1</v>
      </c>
    </row>
    <row r="6" spans="1:9" ht="180" customHeight="1">
      <c r="A6" s="44">
        <v>3</v>
      </c>
      <c r="B6" s="45" t="s">
        <v>191</v>
      </c>
      <c r="C6" s="45" t="s">
        <v>204</v>
      </c>
      <c r="D6" s="44" t="s">
        <v>193</v>
      </c>
      <c r="E6" s="74">
        <v>88</v>
      </c>
      <c r="F6" s="46" t="s">
        <v>863</v>
      </c>
      <c r="H6" s="10" t="s">
        <v>859</v>
      </c>
      <c r="I6" s="22">
        <f>COUNTIFS(E4:E71,"&lt;0")+COUNTIFS(E4:E71,"&gt;100")</f>
        <v>0</v>
      </c>
    </row>
    <row r="7" spans="1:9" ht="180" customHeight="1">
      <c r="A7" s="44">
        <v>4</v>
      </c>
      <c r="B7" s="45" t="s">
        <v>191</v>
      </c>
      <c r="C7" s="45" t="s">
        <v>209</v>
      </c>
      <c r="D7" s="44" t="s">
        <v>193</v>
      </c>
      <c r="E7" s="76">
        <v>72</v>
      </c>
      <c r="F7" s="46" t="s">
        <v>864</v>
      </c>
    </row>
    <row r="8" spans="1:9" ht="180" customHeight="1">
      <c r="A8" s="44">
        <v>5</v>
      </c>
      <c r="B8" s="45" t="s">
        <v>191</v>
      </c>
      <c r="C8" s="45" t="s">
        <v>214</v>
      </c>
      <c r="D8" s="44" t="s">
        <v>193</v>
      </c>
      <c r="E8" s="74">
        <v>76</v>
      </c>
      <c r="F8" s="46" t="s">
        <v>865</v>
      </c>
    </row>
    <row r="9" spans="1:9" ht="180" customHeight="1">
      <c r="A9" s="44">
        <v>6</v>
      </c>
      <c r="B9" s="45" t="s">
        <v>191</v>
      </c>
      <c r="C9" s="45" t="s">
        <v>219</v>
      </c>
      <c r="D9" s="44" t="s">
        <v>193</v>
      </c>
      <c r="E9" s="74">
        <v>94</v>
      </c>
      <c r="F9" s="46" t="s">
        <v>866</v>
      </c>
    </row>
    <row r="10" spans="1:9" ht="180" customHeight="1">
      <c r="A10" s="44">
        <v>7</v>
      </c>
      <c r="B10" s="45" t="s">
        <v>191</v>
      </c>
      <c r="C10" s="45" t="s">
        <v>223</v>
      </c>
      <c r="D10" s="44" t="s">
        <v>193</v>
      </c>
      <c r="E10" s="76">
        <v>70</v>
      </c>
      <c r="F10" s="46" t="s">
        <v>867</v>
      </c>
    </row>
    <row r="11" spans="1:9" ht="180" customHeight="1">
      <c r="A11" s="44">
        <v>8</v>
      </c>
      <c r="B11" s="45" t="s">
        <v>191</v>
      </c>
      <c r="C11" s="45" t="s">
        <v>230</v>
      </c>
      <c r="D11" s="44" t="s">
        <v>193</v>
      </c>
      <c r="E11" s="76">
        <v>74</v>
      </c>
      <c r="F11" s="46" t="s">
        <v>868</v>
      </c>
    </row>
    <row r="12" spans="1:9" ht="30" customHeight="1">
      <c r="A12" s="72">
        <v>9</v>
      </c>
      <c r="B12" s="53" t="s">
        <v>191</v>
      </c>
      <c r="C12" s="53" t="s">
        <v>236</v>
      </c>
      <c r="D12" s="72" t="s">
        <v>193</v>
      </c>
      <c r="E12" s="73"/>
      <c r="F12" s="67"/>
    </row>
    <row r="13" spans="1:9" ht="200.1" customHeight="1">
      <c r="A13" s="44">
        <v>10</v>
      </c>
      <c r="B13" s="45" t="s">
        <v>191</v>
      </c>
      <c r="C13" s="45" t="s">
        <v>240</v>
      </c>
      <c r="D13" s="44" t="s">
        <v>193</v>
      </c>
      <c r="E13" s="76">
        <v>72</v>
      </c>
      <c r="F13" s="46" t="s">
        <v>869</v>
      </c>
    </row>
    <row r="14" spans="1:9" ht="200.1" customHeight="1">
      <c r="A14" s="44">
        <v>11</v>
      </c>
      <c r="B14" s="45" t="s">
        <v>191</v>
      </c>
      <c r="C14" s="45" t="s">
        <v>246</v>
      </c>
      <c r="D14" s="44" t="s">
        <v>193</v>
      </c>
      <c r="E14" s="76">
        <v>64</v>
      </c>
      <c r="F14" s="46" t="s">
        <v>870</v>
      </c>
    </row>
    <row r="15" spans="1:9" ht="200.1" customHeight="1">
      <c r="A15" s="44">
        <v>12</v>
      </c>
      <c r="B15" s="45" t="s">
        <v>191</v>
      </c>
      <c r="C15" s="45" t="s">
        <v>250</v>
      </c>
      <c r="D15" s="44" t="s">
        <v>193</v>
      </c>
      <c r="E15" s="76">
        <v>66</v>
      </c>
      <c r="F15" s="46" t="s">
        <v>871</v>
      </c>
    </row>
    <row r="16" spans="1:9" ht="200.1" customHeight="1">
      <c r="A16" s="44">
        <v>13</v>
      </c>
      <c r="B16" s="45" t="s">
        <v>191</v>
      </c>
      <c r="C16" s="45" t="s">
        <v>256</v>
      </c>
      <c r="D16" s="44" t="s">
        <v>193</v>
      </c>
      <c r="E16" s="76">
        <v>74</v>
      </c>
      <c r="F16" s="46" t="s">
        <v>872</v>
      </c>
    </row>
    <row r="17" spans="1:6" ht="30" customHeight="1">
      <c r="A17" s="72">
        <v>14</v>
      </c>
      <c r="B17" s="53" t="s">
        <v>191</v>
      </c>
      <c r="C17" s="53" t="s">
        <v>261</v>
      </c>
      <c r="D17" s="72" t="s">
        <v>262</v>
      </c>
      <c r="E17" s="73"/>
      <c r="F17" s="67"/>
    </row>
    <row r="18" spans="1:6" ht="30" customHeight="1">
      <c r="A18" s="72">
        <v>15</v>
      </c>
      <c r="B18" s="53" t="s">
        <v>191</v>
      </c>
      <c r="C18" s="53" t="s">
        <v>267</v>
      </c>
      <c r="D18" s="72" t="s">
        <v>262</v>
      </c>
      <c r="E18" s="73"/>
      <c r="F18" s="67"/>
    </row>
    <row r="19" spans="1:6" ht="200.1" customHeight="1">
      <c r="A19" s="44">
        <v>16</v>
      </c>
      <c r="B19" s="45" t="s">
        <v>191</v>
      </c>
      <c r="C19" s="45" t="s">
        <v>272</v>
      </c>
      <c r="D19" s="44" t="s">
        <v>193</v>
      </c>
      <c r="E19" s="76">
        <v>60</v>
      </c>
      <c r="F19" s="46" t="s">
        <v>873</v>
      </c>
    </row>
    <row r="20" spans="1:6" ht="200.1" customHeight="1">
      <c r="A20" s="44">
        <v>17</v>
      </c>
      <c r="B20" s="45" t="s">
        <v>191</v>
      </c>
      <c r="C20" s="45" t="s">
        <v>277</v>
      </c>
      <c r="D20" s="44" t="s">
        <v>193</v>
      </c>
      <c r="E20" s="75">
        <v>58</v>
      </c>
      <c r="F20" s="46" t="s">
        <v>874</v>
      </c>
    </row>
    <row r="21" spans="1:6" ht="200.1" customHeight="1">
      <c r="A21" s="44">
        <v>18</v>
      </c>
      <c r="B21" s="45" t="s">
        <v>191</v>
      </c>
      <c r="C21" s="45" t="s">
        <v>283</v>
      </c>
      <c r="D21" s="44" t="s">
        <v>193</v>
      </c>
      <c r="E21" s="76">
        <v>74</v>
      </c>
      <c r="F21" s="46" t="s">
        <v>875</v>
      </c>
    </row>
    <row r="22" spans="1:6" ht="200.1" customHeight="1">
      <c r="A22" s="44">
        <v>19</v>
      </c>
      <c r="B22" s="45" t="s">
        <v>191</v>
      </c>
      <c r="C22" s="45" t="s">
        <v>288</v>
      </c>
      <c r="D22" s="44" t="s">
        <v>193</v>
      </c>
      <c r="E22" s="76">
        <v>72</v>
      </c>
      <c r="F22" s="46" t="s">
        <v>876</v>
      </c>
    </row>
    <row r="23" spans="1:6" ht="200.1" customHeight="1">
      <c r="A23" s="44">
        <v>20</v>
      </c>
      <c r="B23" s="45" t="s">
        <v>191</v>
      </c>
      <c r="C23" s="45" t="s">
        <v>292</v>
      </c>
      <c r="D23" s="44" t="s">
        <v>193</v>
      </c>
      <c r="E23" s="76">
        <v>60</v>
      </c>
      <c r="F23" s="46" t="s">
        <v>877</v>
      </c>
    </row>
    <row r="24" spans="1:6" ht="200.1" customHeight="1">
      <c r="A24" s="44">
        <v>21</v>
      </c>
      <c r="B24" s="45" t="s">
        <v>191</v>
      </c>
      <c r="C24" s="45" t="s">
        <v>297</v>
      </c>
      <c r="D24" s="44" t="s">
        <v>193</v>
      </c>
      <c r="E24" s="76">
        <v>64</v>
      </c>
      <c r="F24" s="46" t="s">
        <v>878</v>
      </c>
    </row>
    <row r="25" spans="1:6" ht="200.1" customHeight="1">
      <c r="A25" s="44">
        <v>22</v>
      </c>
      <c r="B25" s="45" t="s">
        <v>191</v>
      </c>
      <c r="C25" s="45" t="s">
        <v>302</v>
      </c>
      <c r="D25" s="44" t="s">
        <v>193</v>
      </c>
      <c r="E25" s="75">
        <v>56</v>
      </c>
      <c r="F25" s="46" t="s">
        <v>879</v>
      </c>
    </row>
    <row r="26" spans="1:6" ht="200.1" customHeight="1">
      <c r="A26" s="44">
        <v>23</v>
      </c>
      <c r="B26" s="45" t="s">
        <v>191</v>
      </c>
      <c r="C26" s="45" t="s">
        <v>307</v>
      </c>
      <c r="D26" s="44" t="s">
        <v>193</v>
      </c>
      <c r="E26" s="76">
        <v>70</v>
      </c>
      <c r="F26" s="46" t="s">
        <v>880</v>
      </c>
    </row>
    <row r="27" spans="1:6" ht="200.1" customHeight="1">
      <c r="A27" s="44">
        <v>24</v>
      </c>
      <c r="B27" s="45" t="s">
        <v>191</v>
      </c>
      <c r="C27" s="45" t="s">
        <v>312</v>
      </c>
      <c r="D27" s="44" t="s">
        <v>193</v>
      </c>
      <c r="E27" s="77">
        <v>36</v>
      </c>
      <c r="F27" s="46" t="s">
        <v>881</v>
      </c>
    </row>
    <row r="28" spans="1:6" ht="200.1" customHeight="1">
      <c r="A28" s="44">
        <v>25</v>
      </c>
      <c r="B28" s="45" t="s">
        <v>191</v>
      </c>
      <c r="C28" s="45" t="s">
        <v>318</v>
      </c>
      <c r="D28" s="44" t="s">
        <v>193</v>
      </c>
      <c r="E28" s="75">
        <v>42</v>
      </c>
      <c r="F28" s="46" t="s">
        <v>882</v>
      </c>
    </row>
    <row r="29" spans="1:6" ht="200.1" customHeight="1">
      <c r="A29" s="44">
        <v>26</v>
      </c>
      <c r="B29" s="45" t="s">
        <v>323</v>
      </c>
      <c r="C29" s="45" t="s">
        <v>324</v>
      </c>
      <c r="D29" s="44" t="s">
        <v>193</v>
      </c>
      <c r="E29" s="71">
        <v>64</v>
      </c>
      <c r="F29" s="46" t="s">
        <v>883</v>
      </c>
    </row>
    <row r="30" spans="1:6" ht="200.1" customHeight="1">
      <c r="A30" s="44">
        <v>27</v>
      </c>
      <c r="B30" s="45" t="s">
        <v>323</v>
      </c>
      <c r="C30" s="45" t="s">
        <v>329</v>
      </c>
      <c r="D30" s="44" t="s">
        <v>193</v>
      </c>
      <c r="E30" s="71">
        <v>64</v>
      </c>
      <c r="F30" s="46" t="s">
        <v>884</v>
      </c>
    </row>
    <row r="31" spans="1:6" ht="200.1" customHeight="1">
      <c r="A31" s="44">
        <v>28</v>
      </c>
      <c r="B31" s="45" t="s">
        <v>323</v>
      </c>
      <c r="C31" s="45" t="s">
        <v>333</v>
      </c>
      <c r="D31" s="44" t="s">
        <v>193</v>
      </c>
      <c r="E31" s="71">
        <v>66</v>
      </c>
      <c r="F31" s="46" t="s">
        <v>885</v>
      </c>
    </row>
    <row r="32" spans="1:6" ht="30" customHeight="1">
      <c r="A32" s="72">
        <v>29</v>
      </c>
      <c r="B32" s="53" t="s">
        <v>323</v>
      </c>
      <c r="C32" s="53" t="s">
        <v>339</v>
      </c>
      <c r="D32" s="72" t="s">
        <v>262</v>
      </c>
      <c r="E32" s="73"/>
      <c r="F32" s="67"/>
    </row>
    <row r="33" spans="1:6" ht="180" customHeight="1">
      <c r="A33" s="44">
        <v>30</v>
      </c>
      <c r="B33" s="45" t="s">
        <v>323</v>
      </c>
      <c r="C33" s="45" t="s">
        <v>343</v>
      </c>
      <c r="D33" s="44" t="s">
        <v>193</v>
      </c>
      <c r="E33" s="70">
        <v>80</v>
      </c>
      <c r="F33" s="46" t="s">
        <v>886</v>
      </c>
    </row>
    <row r="34" spans="1:6" ht="180" customHeight="1">
      <c r="A34" s="44">
        <v>31</v>
      </c>
      <c r="B34" s="45" t="s">
        <v>323</v>
      </c>
      <c r="C34" s="45" t="s">
        <v>347</v>
      </c>
      <c r="D34" s="44" t="s">
        <v>193</v>
      </c>
      <c r="E34" s="70">
        <v>84</v>
      </c>
      <c r="F34" s="46" t="s">
        <v>887</v>
      </c>
    </row>
    <row r="35" spans="1:6" ht="180" customHeight="1">
      <c r="A35" s="44">
        <v>32</v>
      </c>
      <c r="B35" s="45" t="s">
        <v>323</v>
      </c>
      <c r="C35" s="45" t="s">
        <v>352</v>
      </c>
      <c r="D35" s="44" t="s">
        <v>193</v>
      </c>
      <c r="E35" s="70">
        <v>78</v>
      </c>
      <c r="F35" s="46" t="s">
        <v>888</v>
      </c>
    </row>
    <row r="36" spans="1:6" ht="180" customHeight="1">
      <c r="A36" s="44">
        <v>33</v>
      </c>
      <c r="B36" s="45" t="s">
        <v>323</v>
      </c>
      <c r="C36" s="45" t="s">
        <v>358</v>
      </c>
      <c r="D36" s="44" t="s">
        <v>193</v>
      </c>
      <c r="E36" s="71">
        <v>66</v>
      </c>
      <c r="F36" s="46" t="s">
        <v>889</v>
      </c>
    </row>
    <row r="37" spans="1:6" ht="180" customHeight="1">
      <c r="A37" s="44">
        <v>34</v>
      </c>
      <c r="B37" s="45" t="s">
        <v>323</v>
      </c>
      <c r="C37" s="45" t="s">
        <v>363</v>
      </c>
      <c r="D37" s="44" t="s">
        <v>193</v>
      </c>
      <c r="E37" s="71">
        <v>70</v>
      </c>
      <c r="F37" s="46" t="s">
        <v>890</v>
      </c>
    </row>
    <row r="38" spans="1:6" ht="180" customHeight="1">
      <c r="A38" s="44">
        <v>35</v>
      </c>
      <c r="B38" s="45" t="s">
        <v>323</v>
      </c>
      <c r="C38" s="45" t="s">
        <v>369</v>
      </c>
      <c r="D38" s="44" t="s">
        <v>193</v>
      </c>
      <c r="E38" s="71">
        <v>70</v>
      </c>
      <c r="F38" s="46" t="s">
        <v>891</v>
      </c>
    </row>
    <row r="39" spans="1:6" ht="180" customHeight="1">
      <c r="A39" s="44">
        <v>36</v>
      </c>
      <c r="B39" s="45" t="s">
        <v>323</v>
      </c>
      <c r="C39" s="45" t="s">
        <v>372</v>
      </c>
      <c r="D39" s="44" t="s">
        <v>193</v>
      </c>
      <c r="E39" s="71">
        <v>72</v>
      </c>
      <c r="F39" s="46" t="s">
        <v>892</v>
      </c>
    </row>
    <row r="40" spans="1:6" ht="180" customHeight="1">
      <c r="A40" s="44">
        <v>37</v>
      </c>
      <c r="B40" s="45" t="s">
        <v>323</v>
      </c>
      <c r="C40" s="45" t="s">
        <v>377</v>
      </c>
      <c r="D40" s="44" t="s">
        <v>193</v>
      </c>
      <c r="E40" s="71">
        <v>64</v>
      </c>
      <c r="F40" s="46" t="s">
        <v>893</v>
      </c>
    </row>
    <row r="41" spans="1:6" ht="180" customHeight="1">
      <c r="A41" s="44">
        <v>38</v>
      </c>
      <c r="B41" s="45" t="s">
        <v>323</v>
      </c>
      <c r="C41" s="45" t="s">
        <v>381</v>
      </c>
      <c r="D41" s="44" t="s">
        <v>193</v>
      </c>
      <c r="E41" s="71">
        <v>68</v>
      </c>
      <c r="F41" s="46" t="s">
        <v>894</v>
      </c>
    </row>
    <row r="42" spans="1:6" ht="180" customHeight="1">
      <c r="A42" s="44">
        <v>39</v>
      </c>
      <c r="B42" s="45" t="s">
        <v>323</v>
      </c>
      <c r="C42" s="45" t="s">
        <v>384</v>
      </c>
      <c r="D42" s="44" t="s">
        <v>193</v>
      </c>
      <c r="E42" s="71">
        <v>66</v>
      </c>
      <c r="F42" s="46" t="s">
        <v>895</v>
      </c>
    </row>
    <row r="43" spans="1:6" ht="180" customHeight="1">
      <c r="A43" s="44">
        <v>40</v>
      </c>
      <c r="B43" s="45" t="s">
        <v>323</v>
      </c>
      <c r="C43" s="45" t="s">
        <v>388</v>
      </c>
      <c r="D43" s="44" t="s">
        <v>193</v>
      </c>
      <c r="E43" s="68">
        <v>56</v>
      </c>
      <c r="F43" s="46" t="s">
        <v>896</v>
      </c>
    </row>
    <row r="44" spans="1:6" ht="180" customHeight="1">
      <c r="A44" s="44">
        <v>41</v>
      </c>
      <c r="B44" s="45" t="s">
        <v>323</v>
      </c>
      <c r="C44" s="45" t="s">
        <v>393</v>
      </c>
      <c r="D44" s="44" t="s">
        <v>193</v>
      </c>
      <c r="E44" s="71">
        <v>72</v>
      </c>
      <c r="F44" s="46" t="s">
        <v>897</v>
      </c>
    </row>
    <row r="45" spans="1:6" ht="180" customHeight="1">
      <c r="A45" s="44">
        <v>42</v>
      </c>
      <c r="B45" s="45" t="s">
        <v>323</v>
      </c>
      <c r="C45" s="45" t="s">
        <v>398</v>
      </c>
      <c r="D45" s="44" t="s">
        <v>193</v>
      </c>
      <c r="E45" s="70">
        <v>84</v>
      </c>
      <c r="F45" s="46" t="s">
        <v>898</v>
      </c>
    </row>
    <row r="46" spans="1:6" ht="180" customHeight="1">
      <c r="A46" s="44">
        <v>43</v>
      </c>
      <c r="B46" s="45" t="s">
        <v>323</v>
      </c>
      <c r="C46" s="45" t="s">
        <v>403</v>
      </c>
      <c r="D46" s="44" t="s">
        <v>193</v>
      </c>
      <c r="E46" s="71">
        <v>72</v>
      </c>
      <c r="F46" s="46" t="s">
        <v>899</v>
      </c>
    </row>
    <row r="47" spans="1:6" ht="200.1" customHeight="1">
      <c r="A47" s="72">
        <v>44</v>
      </c>
      <c r="B47" s="53" t="s">
        <v>323</v>
      </c>
      <c r="C47" s="53" t="s">
        <v>407</v>
      </c>
      <c r="D47" s="72" t="s">
        <v>262</v>
      </c>
      <c r="E47" s="73"/>
      <c r="F47" s="67"/>
    </row>
    <row r="48" spans="1:6" ht="180" customHeight="1">
      <c r="A48" s="44">
        <v>45</v>
      </c>
      <c r="B48" s="45" t="s">
        <v>323</v>
      </c>
      <c r="C48" s="45" t="s">
        <v>411</v>
      </c>
      <c r="D48" s="44" t="s">
        <v>193</v>
      </c>
      <c r="E48" s="71">
        <v>70</v>
      </c>
      <c r="F48" s="46" t="s">
        <v>900</v>
      </c>
    </row>
    <row r="49" spans="1:6" ht="180" customHeight="1">
      <c r="A49" s="44">
        <v>46</v>
      </c>
      <c r="B49" s="45" t="s">
        <v>416</v>
      </c>
      <c r="C49" s="45" t="s">
        <v>417</v>
      </c>
      <c r="D49" s="44" t="s">
        <v>193</v>
      </c>
      <c r="E49" s="71">
        <v>66</v>
      </c>
      <c r="F49" s="46" t="s">
        <v>901</v>
      </c>
    </row>
    <row r="50" spans="1:6" ht="30" customHeight="1">
      <c r="A50" s="72">
        <v>47</v>
      </c>
      <c r="B50" s="53" t="s">
        <v>416</v>
      </c>
      <c r="C50" s="53" t="s">
        <v>422</v>
      </c>
      <c r="D50" s="72" t="s">
        <v>262</v>
      </c>
      <c r="E50" s="73"/>
      <c r="F50" s="67"/>
    </row>
    <row r="51" spans="1:6" ht="30" customHeight="1">
      <c r="A51" s="72">
        <v>48</v>
      </c>
      <c r="B51" s="53" t="s">
        <v>416</v>
      </c>
      <c r="C51" s="53" t="s">
        <v>426</v>
      </c>
      <c r="D51" s="72" t="s">
        <v>262</v>
      </c>
      <c r="E51" s="73"/>
      <c r="F51" s="67"/>
    </row>
    <row r="52" spans="1:6" ht="30" customHeight="1">
      <c r="A52" s="72">
        <v>49</v>
      </c>
      <c r="B52" s="53" t="s">
        <v>416</v>
      </c>
      <c r="C52" s="53" t="s">
        <v>429</v>
      </c>
      <c r="D52" s="72" t="s">
        <v>262</v>
      </c>
      <c r="E52" s="73"/>
      <c r="F52" s="67"/>
    </row>
    <row r="53" spans="1:6" ht="30" customHeight="1">
      <c r="A53" s="72">
        <v>50</v>
      </c>
      <c r="B53" s="53" t="s">
        <v>416</v>
      </c>
      <c r="C53" s="53" t="s">
        <v>432</v>
      </c>
      <c r="D53" s="72" t="s">
        <v>262</v>
      </c>
      <c r="E53" s="73"/>
      <c r="F53" s="67"/>
    </row>
    <row r="54" spans="1:6" ht="30" customHeight="1">
      <c r="A54" s="72">
        <v>51</v>
      </c>
      <c r="B54" s="53" t="s">
        <v>416</v>
      </c>
      <c r="C54" s="53" t="s">
        <v>436</v>
      </c>
      <c r="D54" s="72" t="s">
        <v>262</v>
      </c>
      <c r="E54" s="73"/>
      <c r="F54" s="67"/>
    </row>
    <row r="55" spans="1:6" ht="30" customHeight="1">
      <c r="A55" s="72">
        <v>52</v>
      </c>
      <c r="B55" s="53" t="s">
        <v>416</v>
      </c>
      <c r="C55" s="53" t="s">
        <v>439</v>
      </c>
      <c r="D55" s="72" t="s">
        <v>262</v>
      </c>
      <c r="E55" s="73"/>
      <c r="F55" s="67"/>
    </row>
    <row r="56" spans="1:6" ht="30" customHeight="1">
      <c r="A56" s="72">
        <v>53</v>
      </c>
      <c r="B56" s="53" t="s">
        <v>416</v>
      </c>
      <c r="C56" s="53" t="s">
        <v>442</v>
      </c>
      <c r="D56" s="72" t="s">
        <v>262</v>
      </c>
      <c r="E56" s="73"/>
      <c r="F56" s="67"/>
    </row>
    <row r="57" spans="1:6" ht="30" customHeight="1">
      <c r="A57" s="72">
        <v>54</v>
      </c>
      <c r="B57" s="53" t="s">
        <v>416</v>
      </c>
      <c r="C57" s="53" t="s">
        <v>445</v>
      </c>
      <c r="D57" s="72" t="s">
        <v>262</v>
      </c>
      <c r="E57" s="73"/>
      <c r="F57" s="67"/>
    </row>
    <row r="58" spans="1:6" ht="30" customHeight="1">
      <c r="A58" s="72">
        <v>55</v>
      </c>
      <c r="B58" s="53" t="s">
        <v>416</v>
      </c>
      <c r="C58" s="53" t="s">
        <v>448</v>
      </c>
      <c r="D58" s="72" t="s">
        <v>262</v>
      </c>
      <c r="E58" s="73"/>
      <c r="F58" s="67"/>
    </row>
    <row r="59" spans="1:6" ht="180" customHeight="1">
      <c r="A59" s="44">
        <v>56</v>
      </c>
      <c r="B59" s="45" t="s">
        <v>416</v>
      </c>
      <c r="C59" s="45" t="s">
        <v>452</v>
      </c>
      <c r="D59" s="44" t="s">
        <v>193</v>
      </c>
      <c r="E59" s="71">
        <v>60</v>
      </c>
      <c r="F59" s="46" t="s">
        <v>902</v>
      </c>
    </row>
    <row r="60" spans="1:6" ht="180" customHeight="1">
      <c r="A60" s="44">
        <v>57</v>
      </c>
      <c r="B60" s="45" t="s">
        <v>457</v>
      </c>
      <c r="C60" s="45" t="s">
        <v>458</v>
      </c>
      <c r="D60" s="44" t="s">
        <v>193</v>
      </c>
      <c r="E60" s="71">
        <v>72</v>
      </c>
      <c r="F60" s="46" t="s">
        <v>903</v>
      </c>
    </row>
    <row r="61" spans="1:6" ht="30" customHeight="1">
      <c r="A61" s="72">
        <v>58</v>
      </c>
      <c r="B61" s="53" t="s">
        <v>457</v>
      </c>
      <c r="C61" s="53" t="s">
        <v>462</v>
      </c>
      <c r="D61" s="72" t="s">
        <v>262</v>
      </c>
      <c r="E61" s="73"/>
      <c r="F61" s="67"/>
    </row>
    <row r="62" spans="1:6" ht="180" customHeight="1">
      <c r="A62" s="44">
        <v>59</v>
      </c>
      <c r="B62" s="45" t="s">
        <v>457</v>
      </c>
      <c r="C62" s="45" t="s">
        <v>465</v>
      </c>
      <c r="D62" s="44" t="s">
        <v>193</v>
      </c>
      <c r="E62" s="69">
        <v>28</v>
      </c>
      <c r="F62" s="46" t="s">
        <v>904</v>
      </c>
    </row>
    <row r="63" spans="1:6" ht="180" customHeight="1">
      <c r="A63" s="44">
        <v>60</v>
      </c>
      <c r="B63" s="45" t="s">
        <v>457</v>
      </c>
      <c r="C63" s="45" t="s">
        <v>469</v>
      </c>
      <c r="D63" s="44" t="s">
        <v>193</v>
      </c>
      <c r="E63" s="69">
        <v>32</v>
      </c>
      <c r="F63" s="46" t="s">
        <v>905</v>
      </c>
    </row>
    <row r="64" spans="1:6" ht="180" customHeight="1">
      <c r="A64" s="44">
        <v>61</v>
      </c>
      <c r="B64" s="45" t="s">
        <v>457</v>
      </c>
      <c r="C64" s="45" t="s">
        <v>473</v>
      </c>
      <c r="D64" s="44" t="s">
        <v>193</v>
      </c>
      <c r="E64" s="69">
        <v>36</v>
      </c>
      <c r="F64" s="46" t="s">
        <v>906</v>
      </c>
    </row>
    <row r="65" spans="1:6" ht="180" customHeight="1">
      <c r="A65" s="44">
        <v>62</v>
      </c>
      <c r="B65" s="45" t="s">
        <v>457</v>
      </c>
      <c r="C65" s="45" t="s">
        <v>476</v>
      </c>
      <c r="D65" s="44" t="s">
        <v>193</v>
      </c>
      <c r="E65" s="69">
        <v>22</v>
      </c>
      <c r="F65" s="46" t="s">
        <v>907</v>
      </c>
    </row>
    <row r="66" spans="1:6" ht="180" customHeight="1">
      <c r="A66" s="44">
        <v>63</v>
      </c>
      <c r="B66" s="45" t="s">
        <v>457</v>
      </c>
      <c r="C66" s="45" t="s">
        <v>480</v>
      </c>
      <c r="D66" s="44" t="s">
        <v>193</v>
      </c>
      <c r="E66" s="69">
        <v>28</v>
      </c>
      <c r="F66" s="46" t="s">
        <v>908</v>
      </c>
    </row>
    <row r="67" spans="1:6" ht="180" customHeight="1">
      <c r="A67" s="44">
        <v>64</v>
      </c>
      <c r="B67" s="45" t="s">
        <v>457</v>
      </c>
      <c r="C67" s="45" t="s">
        <v>484</v>
      </c>
      <c r="D67" s="44" t="s">
        <v>193</v>
      </c>
      <c r="E67" s="69">
        <v>30</v>
      </c>
      <c r="F67" s="46" t="s">
        <v>909</v>
      </c>
    </row>
    <row r="68" spans="1:6" ht="180" customHeight="1">
      <c r="A68" s="44">
        <v>65</v>
      </c>
      <c r="B68" s="45" t="s">
        <v>457</v>
      </c>
      <c r="C68" s="45" t="s">
        <v>487</v>
      </c>
      <c r="D68" s="44" t="s">
        <v>193</v>
      </c>
      <c r="E68" s="69">
        <v>0</v>
      </c>
      <c r="F68" s="46" t="s">
        <v>910</v>
      </c>
    </row>
    <row r="69" spans="1:6" ht="180" customHeight="1">
      <c r="A69" s="44">
        <v>66</v>
      </c>
      <c r="B69" s="45" t="s">
        <v>492</v>
      </c>
      <c r="C69" s="45" t="s">
        <v>493</v>
      </c>
      <c r="D69" s="44" t="s">
        <v>193</v>
      </c>
      <c r="E69" s="71">
        <v>72</v>
      </c>
      <c r="F69" s="46" t="s">
        <v>911</v>
      </c>
    </row>
    <row r="70" spans="1:6" ht="180" customHeight="1">
      <c r="A70" s="44">
        <v>67</v>
      </c>
      <c r="B70" s="45" t="s">
        <v>492</v>
      </c>
      <c r="C70" s="45" t="s">
        <v>498</v>
      </c>
      <c r="D70" s="44" t="s">
        <v>193</v>
      </c>
      <c r="E70" s="71">
        <v>72</v>
      </c>
      <c r="F70" s="46" t="s">
        <v>912</v>
      </c>
    </row>
    <row r="71" spans="1:6" ht="180" customHeight="1">
      <c r="A71" s="44">
        <v>68</v>
      </c>
      <c r="B71" s="45" t="s">
        <v>492</v>
      </c>
      <c r="C71" s="45" t="s">
        <v>501</v>
      </c>
      <c r="D71" s="44" t="s">
        <v>193</v>
      </c>
      <c r="E71" s="71">
        <v>64</v>
      </c>
      <c r="F71" s="46" t="s">
        <v>913</v>
      </c>
    </row>
  </sheetData>
  <autoFilter ref="A3:F71" xr:uid="{00000000-0009-0000-0000-000005000000}"/>
  <mergeCells count="1">
    <mergeCell ref="A1:F1"/>
  </mergeCells>
  <conditionalFormatting sqref="E4:E71">
    <cfRule type="colorScale" priority="1">
      <colorScale>
        <cfvo type="num" val="0"/>
        <cfvo type="num" val="50"/>
        <cfvo type="num" val="100"/>
        <color rgb="FFE85D5D"/>
        <color rgb="FFFFEB99"/>
        <color rgb="FF7BC97B"/>
      </colorScale>
    </cfRule>
  </conditionalFormatting>
  <dataValidations count="1">
    <dataValidation type="decimal" allowBlank="1" errorTitle="Invalid score" error="Score must be a number between 0 and 100, or blank." sqref="E4 E5 E6 E7 E8 E9 E10 E11 E12 E13 E14 E15 E16 E19 E20 E21 E22 E23 E24 E25 E26 E27 E28 E30 E31 E32 E33 E34 E35 E36 E37 E38 E39 E40 E41 E42 E43 E44 E45 E47 E48 E49 E58 E59 E60 E62 E63 E64 E65 E66 E67 E68 E69 E70 E71" xr:uid="{00000000-0002-0000-0500-000000000000}">
      <formula1>0</formula1>
      <formula2>100</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1"/>
  <sheetViews>
    <sheetView workbookViewId="0">
      <pane xSplit="3" ySplit="3" topLeftCell="D69" activePane="bottomRight" state="frozen"/>
      <selection pane="bottomRight" activeCell="A62" sqref="A62:XFD71"/>
      <selection pane="bottomLeft"/>
      <selection pane="topRight"/>
    </sheetView>
  </sheetViews>
  <sheetFormatPr defaultColWidth="8.85546875" defaultRowHeight="15"/>
  <cols>
    <col min="1" max="1" width="5" customWidth="1"/>
    <col min="2" max="2" width="16" customWidth="1"/>
    <col min="3" max="3" width="42" customWidth="1"/>
    <col min="4" max="4" width="9" customWidth="1"/>
    <col min="5" max="5" width="14" customWidth="1"/>
    <col min="6" max="6" width="50" customWidth="1"/>
    <col min="8" max="8" width="22" customWidth="1"/>
    <col min="9" max="9" width="14" customWidth="1"/>
  </cols>
  <sheetData>
    <row r="1" spans="1:9" ht="27.95" customHeight="1">
      <c r="A1" s="80" t="str">
        <f>CONCATENATE("Score Input — ", 'Snapshot Setup'!B8)</f>
        <v>Score Input — P&amp;G Home Care (Mr. Clean, Microban 24)</v>
      </c>
      <c r="B1" s="81"/>
      <c r="C1" s="81"/>
      <c r="D1" s="81"/>
      <c r="E1" s="81"/>
      <c r="F1" s="81"/>
    </row>
    <row r="2" spans="1:9">
      <c r="A2" s="20" t="str">
        <f>CONCATENATE("Snapshot Date: ", TEXT('Snapshot Setup'!B4, "mmm yyyy"))</f>
        <v>Snapshot Date: Jun 2026</v>
      </c>
      <c r="H2" s="21" t="s">
        <v>854</v>
      </c>
    </row>
    <row r="3" spans="1:9">
      <c r="A3" s="9" t="s">
        <v>179</v>
      </c>
      <c r="B3" s="9" t="s">
        <v>180</v>
      </c>
      <c r="C3" s="9" t="s">
        <v>181</v>
      </c>
      <c r="D3" s="9" t="s">
        <v>182</v>
      </c>
      <c r="E3" s="9" t="s">
        <v>855</v>
      </c>
      <c r="F3" s="9" t="s">
        <v>146</v>
      </c>
      <c r="H3" s="10" t="s">
        <v>856</v>
      </c>
      <c r="I3" s="22">
        <v>53</v>
      </c>
    </row>
    <row r="4" spans="1:9" ht="200.1" customHeight="1">
      <c r="A4" s="44">
        <v>1</v>
      </c>
      <c r="B4" s="45" t="s">
        <v>191</v>
      </c>
      <c r="C4" s="45" t="s">
        <v>192</v>
      </c>
      <c r="D4" s="44" t="s">
        <v>193</v>
      </c>
      <c r="E4" s="76">
        <v>64</v>
      </c>
      <c r="F4" s="46" t="s">
        <v>914</v>
      </c>
      <c r="H4" s="10" t="s">
        <v>857</v>
      </c>
      <c r="I4" s="22">
        <f>SUMPRODUCT(--ISNUMBER(E4:E71))</f>
        <v>53</v>
      </c>
    </row>
    <row r="5" spans="1:9" ht="200.1" customHeight="1">
      <c r="A5" s="44">
        <v>2</v>
      </c>
      <c r="B5" s="45" t="s">
        <v>191</v>
      </c>
      <c r="C5" s="45" t="s">
        <v>199</v>
      </c>
      <c r="D5" s="44" t="s">
        <v>193</v>
      </c>
      <c r="E5" s="76">
        <v>68</v>
      </c>
      <c r="F5" s="46" t="s">
        <v>915</v>
      </c>
      <c r="H5" s="10" t="s">
        <v>858</v>
      </c>
      <c r="I5" s="24">
        <f>IFERROR(I4/I3,0)</f>
        <v>1</v>
      </c>
    </row>
    <row r="6" spans="1:9" ht="200.1" customHeight="1">
      <c r="A6" s="44">
        <v>3</v>
      </c>
      <c r="B6" s="45" t="s">
        <v>191</v>
      </c>
      <c r="C6" s="45" t="s">
        <v>204</v>
      </c>
      <c r="D6" s="44" t="s">
        <v>193</v>
      </c>
      <c r="E6" s="74">
        <v>80</v>
      </c>
      <c r="F6" s="46" t="s">
        <v>916</v>
      </c>
      <c r="H6" s="10" t="s">
        <v>859</v>
      </c>
      <c r="I6" s="22">
        <f>COUNTIFS(E4:E71,"&lt;0")+COUNTIFS(E4:E71,"&gt;100")</f>
        <v>0</v>
      </c>
    </row>
    <row r="7" spans="1:9" ht="200.1" customHeight="1">
      <c r="A7" s="44">
        <v>4</v>
      </c>
      <c r="B7" s="45" t="s">
        <v>191</v>
      </c>
      <c r="C7" s="45" t="s">
        <v>209</v>
      </c>
      <c r="D7" s="44" t="s">
        <v>193</v>
      </c>
      <c r="E7" s="76">
        <v>74</v>
      </c>
      <c r="F7" s="46" t="s">
        <v>917</v>
      </c>
    </row>
    <row r="8" spans="1:9" ht="200.1" customHeight="1">
      <c r="A8" s="44">
        <v>5</v>
      </c>
      <c r="B8" s="45" t="s">
        <v>191</v>
      </c>
      <c r="C8" s="45" t="s">
        <v>214</v>
      </c>
      <c r="D8" s="44" t="s">
        <v>193</v>
      </c>
      <c r="E8" s="75">
        <v>58</v>
      </c>
      <c r="F8" s="46" t="s">
        <v>918</v>
      </c>
    </row>
    <row r="9" spans="1:9" ht="200.1" customHeight="1">
      <c r="A9" s="44">
        <v>6</v>
      </c>
      <c r="B9" s="45" t="s">
        <v>191</v>
      </c>
      <c r="C9" s="45" t="s">
        <v>219</v>
      </c>
      <c r="D9" s="44" t="s">
        <v>193</v>
      </c>
      <c r="E9" s="74">
        <v>90</v>
      </c>
      <c r="F9" s="46" t="s">
        <v>919</v>
      </c>
    </row>
    <row r="10" spans="1:9" ht="200.1" customHeight="1">
      <c r="A10" s="44">
        <v>7</v>
      </c>
      <c r="B10" s="45" t="s">
        <v>191</v>
      </c>
      <c r="C10" s="45" t="s">
        <v>223</v>
      </c>
      <c r="D10" s="44" t="s">
        <v>193</v>
      </c>
      <c r="E10" s="76">
        <v>68</v>
      </c>
      <c r="F10" s="46" t="s">
        <v>920</v>
      </c>
    </row>
    <row r="11" spans="1:9" ht="200.1" customHeight="1">
      <c r="A11" s="44">
        <v>8</v>
      </c>
      <c r="B11" s="45" t="s">
        <v>191</v>
      </c>
      <c r="C11" s="45" t="s">
        <v>230</v>
      </c>
      <c r="D11" s="44" t="s">
        <v>193</v>
      </c>
      <c r="E11" s="75">
        <v>46</v>
      </c>
      <c r="F11" s="46" t="s">
        <v>921</v>
      </c>
    </row>
    <row r="12" spans="1:9" ht="75" customHeight="1">
      <c r="A12" s="72">
        <v>9</v>
      </c>
      <c r="B12" s="53" t="s">
        <v>191</v>
      </c>
      <c r="C12" s="53" t="s">
        <v>236</v>
      </c>
      <c r="D12" s="72" t="s">
        <v>193</v>
      </c>
      <c r="E12" s="73"/>
      <c r="F12" s="67" t="s">
        <v>922</v>
      </c>
    </row>
    <row r="13" spans="1:9" ht="200.1" customHeight="1">
      <c r="A13" s="44">
        <v>10</v>
      </c>
      <c r="B13" s="45" t="s">
        <v>191</v>
      </c>
      <c r="C13" s="45" t="s">
        <v>240</v>
      </c>
      <c r="D13" s="44" t="s">
        <v>193</v>
      </c>
      <c r="E13" s="76">
        <v>62</v>
      </c>
      <c r="F13" s="46" t="s">
        <v>923</v>
      </c>
    </row>
    <row r="14" spans="1:9" ht="200.1" customHeight="1">
      <c r="A14" s="44">
        <v>11</v>
      </c>
      <c r="B14" s="45" t="s">
        <v>191</v>
      </c>
      <c r="C14" s="45" t="s">
        <v>246</v>
      </c>
      <c r="D14" s="44" t="s">
        <v>193</v>
      </c>
      <c r="E14" s="75">
        <v>52</v>
      </c>
      <c r="F14" s="46" t="s">
        <v>924</v>
      </c>
    </row>
    <row r="15" spans="1:9" ht="200.1" customHeight="1">
      <c r="A15" s="44">
        <v>12</v>
      </c>
      <c r="B15" s="45" t="s">
        <v>191</v>
      </c>
      <c r="C15" s="45" t="s">
        <v>250</v>
      </c>
      <c r="D15" s="44" t="s">
        <v>193</v>
      </c>
      <c r="E15" s="74">
        <v>78</v>
      </c>
      <c r="F15" s="46" t="s">
        <v>925</v>
      </c>
    </row>
    <row r="16" spans="1:9" ht="200.1" customHeight="1">
      <c r="A16" s="44">
        <v>13</v>
      </c>
      <c r="B16" s="45" t="s">
        <v>191</v>
      </c>
      <c r="C16" s="45" t="s">
        <v>256</v>
      </c>
      <c r="D16" s="44" t="s">
        <v>193</v>
      </c>
      <c r="E16" s="76">
        <v>74</v>
      </c>
      <c r="F16" s="46" t="s">
        <v>926</v>
      </c>
    </row>
    <row r="17" spans="1:6" ht="75" customHeight="1">
      <c r="A17" s="72">
        <v>14</v>
      </c>
      <c r="B17" s="53" t="s">
        <v>191</v>
      </c>
      <c r="C17" s="53" t="s">
        <v>261</v>
      </c>
      <c r="D17" s="72" t="s">
        <v>262</v>
      </c>
      <c r="E17" s="73"/>
      <c r="F17" s="67" t="s">
        <v>927</v>
      </c>
    </row>
    <row r="18" spans="1:6" ht="75" customHeight="1">
      <c r="A18" s="72">
        <v>15</v>
      </c>
      <c r="B18" s="53" t="s">
        <v>191</v>
      </c>
      <c r="C18" s="53" t="s">
        <v>267</v>
      </c>
      <c r="D18" s="72" t="s">
        <v>262</v>
      </c>
      <c r="E18" s="73"/>
      <c r="F18" s="67" t="s">
        <v>928</v>
      </c>
    </row>
    <row r="19" spans="1:6" ht="200.1" customHeight="1">
      <c r="A19" s="44">
        <v>16</v>
      </c>
      <c r="B19" s="45" t="s">
        <v>191</v>
      </c>
      <c r="C19" s="45" t="s">
        <v>272</v>
      </c>
      <c r="D19" s="44" t="s">
        <v>193</v>
      </c>
      <c r="E19" s="75">
        <v>42</v>
      </c>
      <c r="F19" s="46" t="s">
        <v>929</v>
      </c>
    </row>
    <row r="20" spans="1:6" ht="200.1" customHeight="1">
      <c r="A20" s="44">
        <v>17</v>
      </c>
      <c r="B20" s="45" t="s">
        <v>191</v>
      </c>
      <c r="C20" s="45" t="s">
        <v>277</v>
      </c>
      <c r="D20" s="44" t="s">
        <v>193</v>
      </c>
      <c r="E20" s="75">
        <v>58</v>
      </c>
      <c r="F20" s="46" t="s">
        <v>930</v>
      </c>
    </row>
    <row r="21" spans="1:6" ht="200.1" customHeight="1">
      <c r="A21" s="44">
        <v>18</v>
      </c>
      <c r="B21" s="45" t="s">
        <v>191</v>
      </c>
      <c r="C21" s="45" t="s">
        <v>283</v>
      </c>
      <c r="D21" s="44" t="s">
        <v>193</v>
      </c>
      <c r="E21" s="76">
        <v>66</v>
      </c>
      <c r="F21" s="46" t="s">
        <v>931</v>
      </c>
    </row>
    <row r="22" spans="1:6" ht="200.1" customHeight="1">
      <c r="A22" s="44">
        <v>19</v>
      </c>
      <c r="B22" s="45" t="s">
        <v>191</v>
      </c>
      <c r="C22" s="45" t="s">
        <v>288</v>
      </c>
      <c r="D22" s="44" t="s">
        <v>193</v>
      </c>
      <c r="E22" s="75">
        <v>54</v>
      </c>
      <c r="F22" s="46" t="s">
        <v>932</v>
      </c>
    </row>
    <row r="23" spans="1:6" ht="200.1" customHeight="1">
      <c r="A23" s="44">
        <v>20</v>
      </c>
      <c r="B23" s="45" t="s">
        <v>191</v>
      </c>
      <c r="C23" s="45" t="s">
        <v>292</v>
      </c>
      <c r="D23" s="44" t="s">
        <v>193</v>
      </c>
      <c r="E23" s="75">
        <v>56</v>
      </c>
      <c r="F23" s="46" t="s">
        <v>933</v>
      </c>
    </row>
    <row r="24" spans="1:6" ht="200.1" customHeight="1">
      <c r="A24" s="44">
        <v>21</v>
      </c>
      <c r="B24" s="45" t="s">
        <v>191</v>
      </c>
      <c r="C24" s="45" t="s">
        <v>297</v>
      </c>
      <c r="D24" s="44" t="s">
        <v>193</v>
      </c>
      <c r="E24" s="76">
        <v>66</v>
      </c>
      <c r="F24" s="46" t="s">
        <v>934</v>
      </c>
    </row>
    <row r="25" spans="1:6" ht="200.1" customHeight="1">
      <c r="A25" s="44">
        <v>22</v>
      </c>
      <c r="B25" s="45" t="s">
        <v>191</v>
      </c>
      <c r="C25" s="45" t="s">
        <v>302</v>
      </c>
      <c r="D25" s="44" t="s">
        <v>193</v>
      </c>
      <c r="E25" s="75">
        <v>54</v>
      </c>
      <c r="F25" s="46" t="s">
        <v>935</v>
      </c>
    </row>
    <row r="26" spans="1:6" ht="200.1" customHeight="1">
      <c r="A26" s="44">
        <v>23</v>
      </c>
      <c r="B26" s="45" t="s">
        <v>191</v>
      </c>
      <c r="C26" s="45" t="s">
        <v>307</v>
      </c>
      <c r="D26" s="44" t="s">
        <v>193</v>
      </c>
      <c r="E26" s="76">
        <v>68</v>
      </c>
      <c r="F26" s="46" t="s">
        <v>936</v>
      </c>
    </row>
    <row r="27" spans="1:6" ht="200.1" customHeight="1">
      <c r="A27" s="44">
        <v>24</v>
      </c>
      <c r="B27" s="45" t="s">
        <v>191</v>
      </c>
      <c r="C27" s="45" t="s">
        <v>312</v>
      </c>
      <c r="D27" s="44" t="s">
        <v>193</v>
      </c>
      <c r="E27" s="75">
        <v>46</v>
      </c>
      <c r="F27" s="46" t="s">
        <v>937</v>
      </c>
    </row>
    <row r="28" spans="1:6" ht="200.1" customHeight="1">
      <c r="A28" s="44">
        <v>25</v>
      </c>
      <c r="B28" s="45" t="s">
        <v>191</v>
      </c>
      <c r="C28" s="45" t="s">
        <v>318</v>
      </c>
      <c r="D28" s="44" t="s">
        <v>193</v>
      </c>
      <c r="E28" s="75">
        <v>40</v>
      </c>
      <c r="F28" s="46" t="s">
        <v>938</v>
      </c>
    </row>
    <row r="29" spans="1:6" ht="200.1" customHeight="1">
      <c r="A29" s="44">
        <v>26</v>
      </c>
      <c r="B29" s="45" t="s">
        <v>323</v>
      </c>
      <c r="C29" s="45" t="s">
        <v>324</v>
      </c>
      <c r="D29" s="44" t="s">
        <v>193</v>
      </c>
      <c r="E29" s="71">
        <v>68</v>
      </c>
      <c r="F29" s="46" t="s">
        <v>939</v>
      </c>
    </row>
    <row r="30" spans="1:6" ht="200.1" customHeight="1">
      <c r="A30" s="44">
        <v>27</v>
      </c>
      <c r="B30" s="45" t="s">
        <v>323</v>
      </c>
      <c r="C30" s="45" t="s">
        <v>329</v>
      </c>
      <c r="D30" s="44" t="s">
        <v>193</v>
      </c>
      <c r="E30" s="71">
        <v>70</v>
      </c>
      <c r="F30" s="46" t="s">
        <v>940</v>
      </c>
    </row>
    <row r="31" spans="1:6" ht="200.1" customHeight="1">
      <c r="A31" s="44">
        <v>28</v>
      </c>
      <c r="B31" s="45" t="s">
        <v>323</v>
      </c>
      <c r="C31" s="45" t="s">
        <v>333</v>
      </c>
      <c r="D31" s="44" t="s">
        <v>193</v>
      </c>
      <c r="E31" s="71">
        <v>68</v>
      </c>
      <c r="F31" s="46" t="s">
        <v>941</v>
      </c>
    </row>
    <row r="32" spans="1:6" ht="24" customHeight="1">
      <c r="A32" s="72">
        <v>29</v>
      </c>
      <c r="B32" s="53" t="s">
        <v>323</v>
      </c>
      <c r="C32" s="53" t="s">
        <v>339</v>
      </c>
      <c r="D32" s="72" t="s">
        <v>262</v>
      </c>
      <c r="E32" s="73"/>
      <c r="F32" s="67"/>
    </row>
    <row r="33" spans="1:6" ht="180" customHeight="1">
      <c r="A33" s="44">
        <v>30</v>
      </c>
      <c r="B33" s="45" t="s">
        <v>323</v>
      </c>
      <c r="C33" s="45" t="s">
        <v>343</v>
      </c>
      <c r="D33" s="44" t="s">
        <v>193</v>
      </c>
      <c r="E33" s="70">
        <v>76</v>
      </c>
      <c r="F33" s="46" t="s">
        <v>942</v>
      </c>
    </row>
    <row r="34" spans="1:6" ht="180" customHeight="1">
      <c r="A34" s="44">
        <v>31</v>
      </c>
      <c r="B34" s="45" t="s">
        <v>323</v>
      </c>
      <c r="C34" s="45" t="s">
        <v>347</v>
      </c>
      <c r="D34" s="44" t="s">
        <v>193</v>
      </c>
      <c r="E34" s="70">
        <v>76</v>
      </c>
      <c r="F34" s="46" t="s">
        <v>943</v>
      </c>
    </row>
    <row r="35" spans="1:6" ht="180" customHeight="1">
      <c r="A35" s="44">
        <v>32</v>
      </c>
      <c r="B35" s="45" t="s">
        <v>323</v>
      </c>
      <c r="C35" s="45" t="s">
        <v>352</v>
      </c>
      <c r="D35" s="44" t="s">
        <v>193</v>
      </c>
      <c r="E35" s="68">
        <v>58</v>
      </c>
      <c r="F35" s="46" t="s">
        <v>944</v>
      </c>
    </row>
    <row r="36" spans="1:6" ht="180" customHeight="1">
      <c r="A36" s="44">
        <v>33</v>
      </c>
      <c r="B36" s="45" t="s">
        <v>323</v>
      </c>
      <c r="C36" s="45" t="s">
        <v>358</v>
      </c>
      <c r="D36" s="44" t="s">
        <v>193</v>
      </c>
      <c r="E36" s="71">
        <v>62</v>
      </c>
      <c r="F36" s="46" t="s">
        <v>945</v>
      </c>
    </row>
    <row r="37" spans="1:6" ht="180" customHeight="1">
      <c r="A37" s="44">
        <v>34</v>
      </c>
      <c r="B37" s="45" t="s">
        <v>323</v>
      </c>
      <c r="C37" s="45" t="s">
        <v>363</v>
      </c>
      <c r="D37" s="44" t="s">
        <v>193</v>
      </c>
      <c r="E37" s="68">
        <v>54</v>
      </c>
      <c r="F37" s="46" t="s">
        <v>946</v>
      </c>
    </row>
    <row r="38" spans="1:6" ht="180" customHeight="1">
      <c r="A38" s="44">
        <v>35</v>
      </c>
      <c r="B38" s="45" t="s">
        <v>323</v>
      </c>
      <c r="C38" s="45" t="s">
        <v>369</v>
      </c>
      <c r="D38" s="44" t="s">
        <v>193</v>
      </c>
      <c r="E38" s="71">
        <v>70</v>
      </c>
      <c r="F38" s="46" t="s">
        <v>947</v>
      </c>
    </row>
    <row r="39" spans="1:6" ht="180" customHeight="1">
      <c r="A39" s="44">
        <v>36</v>
      </c>
      <c r="B39" s="45" t="s">
        <v>323</v>
      </c>
      <c r="C39" s="45" t="s">
        <v>372</v>
      </c>
      <c r="D39" s="44" t="s">
        <v>193</v>
      </c>
      <c r="E39" s="71">
        <v>62</v>
      </c>
      <c r="F39" s="46" t="s">
        <v>948</v>
      </c>
    </row>
    <row r="40" spans="1:6" ht="180" customHeight="1">
      <c r="A40" s="44">
        <v>37</v>
      </c>
      <c r="B40" s="45" t="s">
        <v>323</v>
      </c>
      <c r="C40" s="45" t="s">
        <v>377</v>
      </c>
      <c r="D40" s="44" t="s">
        <v>193</v>
      </c>
      <c r="E40" s="71">
        <v>64</v>
      </c>
      <c r="F40" s="46" t="s">
        <v>949</v>
      </c>
    </row>
    <row r="41" spans="1:6" ht="180" customHeight="1">
      <c r="A41" s="44">
        <v>38</v>
      </c>
      <c r="B41" s="45" t="s">
        <v>323</v>
      </c>
      <c r="C41" s="45" t="s">
        <v>381</v>
      </c>
      <c r="D41" s="44" t="s">
        <v>193</v>
      </c>
      <c r="E41" s="71">
        <v>66</v>
      </c>
      <c r="F41" s="46" t="s">
        <v>950</v>
      </c>
    </row>
    <row r="42" spans="1:6" ht="180" customHeight="1">
      <c r="A42" s="44">
        <v>39</v>
      </c>
      <c r="B42" s="45" t="s">
        <v>323</v>
      </c>
      <c r="C42" s="45" t="s">
        <v>384</v>
      </c>
      <c r="D42" s="44" t="s">
        <v>193</v>
      </c>
      <c r="E42" s="71">
        <v>60</v>
      </c>
      <c r="F42" s="46" t="s">
        <v>951</v>
      </c>
    </row>
    <row r="43" spans="1:6" ht="180" customHeight="1">
      <c r="A43" s="44">
        <v>40</v>
      </c>
      <c r="B43" s="45" t="s">
        <v>323</v>
      </c>
      <c r="C43" s="45" t="s">
        <v>388</v>
      </c>
      <c r="D43" s="44" t="s">
        <v>193</v>
      </c>
      <c r="E43" s="68">
        <v>56</v>
      </c>
      <c r="F43" s="46" t="s">
        <v>952</v>
      </c>
    </row>
    <row r="44" spans="1:6" ht="180" customHeight="1">
      <c r="A44" s="44">
        <v>41</v>
      </c>
      <c r="B44" s="45" t="s">
        <v>323</v>
      </c>
      <c r="C44" s="45" t="s">
        <v>393</v>
      </c>
      <c r="D44" s="44" t="s">
        <v>193</v>
      </c>
      <c r="E44" s="68">
        <v>50</v>
      </c>
      <c r="F44" s="46" t="s">
        <v>953</v>
      </c>
    </row>
    <row r="45" spans="1:6" ht="180" customHeight="1">
      <c r="A45" s="44">
        <v>42</v>
      </c>
      <c r="B45" s="45" t="s">
        <v>323</v>
      </c>
      <c r="C45" s="45" t="s">
        <v>398</v>
      </c>
      <c r="D45" s="44" t="s">
        <v>193</v>
      </c>
      <c r="E45" s="68">
        <v>50</v>
      </c>
      <c r="F45" s="46" t="s">
        <v>954</v>
      </c>
    </row>
    <row r="46" spans="1:6" ht="180" customHeight="1">
      <c r="A46" s="44">
        <v>43</v>
      </c>
      <c r="B46" s="45" t="s">
        <v>323</v>
      </c>
      <c r="C46" s="45" t="s">
        <v>403</v>
      </c>
      <c r="D46" s="44" t="s">
        <v>193</v>
      </c>
      <c r="E46" s="71">
        <v>64</v>
      </c>
      <c r="F46" s="46" t="s">
        <v>955</v>
      </c>
    </row>
    <row r="47" spans="1:6" ht="24" customHeight="1">
      <c r="A47" s="72">
        <v>44</v>
      </c>
      <c r="B47" s="53" t="s">
        <v>323</v>
      </c>
      <c r="C47" s="53" t="s">
        <v>407</v>
      </c>
      <c r="D47" s="72" t="s">
        <v>262</v>
      </c>
      <c r="E47" s="73"/>
      <c r="F47" s="67"/>
    </row>
    <row r="48" spans="1:6" ht="180" customHeight="1">
      <c r="A48" s="44">
        <v>45</v>
      </c>
      <c r="B48" s="45" t="s">
        <v>323</v>
      </c>
      <c r="C48" s="45" t="s">
        <v>411</v>
      </c>
      <c r="D48" s="44" t="s">
        <v>193</v>
      </c>
      <c r="E48" s="71">
        <v>68</v>
      </c>
      <c r="F48" s="46" t="s">
        <v>956</v>
      </c>
    </row>
    <row r="49" spans="1:6" ht="180" customHeight="1">
      <c r="A49" s="44">
        <v>46</v>
      </c>
      <c r="B49" s="45" t="s">
        <v>416</v>
      </c>
      <c r="C49" s="45" t="s">
        <v>417</v>
      </c>
      <c r="D49" s="44" t="s">
        <v>193</v>
      </c>
      <c r="E49" s="71">
        <v>72</v>
      </c>
      <c r="F49" s="46" t="s">
        <v>957</v>
      </c>
    </row>
    <row r="50" spans="1:6" ht="24" customHeight="1">
      <c r="A50" s="72">
        <v>47</v>
      </c>
      <c r="B50" s="53" t="s">
        <v>416</v>
      </c>
      <c r="C50" s="53" t="s">
        <v>422</v>
      </c>
      <c r="D50" s="72" t="s">
        <v>262</v>
      </c>
      <c r="E50" s="73"/>
      <c r="F50" s="67"/>
    </row>
    <row r="51" spans="1:6" ht="24" customHeight="1">
      <c r="A51" s="72">
        <v>48</v>
      </c>
      <c r="B51" s="53" t="s">
        <v>416</v>
      </c>
      <c r="C51" s="53" t="s">
        <v>426</v>
      </c>
      <c r="D51" s="72" t="s">
        <v>262</v>
      </c>
      <c r="E51" s="73"/>
      <c r="F51" s="67"/>
    </row>
    <row r="52" spans="1:6" ht="24" customHeight="1">
      <c r="A52" s="72">
        <v>49</v>
      </c>
      <c r="B52" s="53" t="s">
        <v>416</v>
      </c>
      <c r="C52" s="53" t="s">
        <v>429</v>
      </c>
      <c r="D52" s="72" t="s">
        <v>262</v>
      </c>
      <c r="E52" s="73"/>
      <c r="F52" s="67"/>
    </row>
    <row r="53" spans="1:6" ht="24" customHeight="1">
      <c r="A53" s="72">
        <v>50</v>
      </c>
      <c r="B53" s="53" t="s">
        <v>416</v>
      </c>
      <c r="C53" s="53" t="s">
        <v>432</v>
      </c>
      <c r="D53" s="72" t="s">
        <v>262</v>
      </c>
      <c r="E53" s="73"/>
      <c r="F53" s="67"/>
    </row>
    <row r="54" spans="1:6" ht="24" customHeight="1">
      <c r="A54" s="72">
        <v>51</v>
      </c>
      <c r="B54" s="53" t="s">
        <v>416</v>
      </c>
      <c r="C54" s="53" t="s">
        <v>436</v>
      </c>
      <c r="D54" s="72" t="s">
        <v>262</v>
      </c>
      <c r="E54" s="73"/>
      <c r="F54" s="67"/>
    </row>
    <row r="55" spans="1:6" ht="24" customHeight="1">
      <c r="A55" s="72">
        <v>52</v>
      </c>
      <c r="B55" s="53" t="s">
        <v>416</v>
      </c>
      <c r="C55" s="53" t="s">
        <v>439</v>
      </c>
      <c r="D55" s="72" t="s">
        <v>262</v>
      </c>
      <c r="E55" s="73"/>
      <c r="F55" s="67"/>
    </row>
    <row r="56" spans="1:6" ht="24" customHeight="1">
      <c r="A56" s="72">
        <v>53</v>
      </c>
      <c r="B56" s="53" t="s">
        <v>416</v>
      </c>
      <c r="C56" s="53" t="s">
        <v>442</v>
      </c>
      <c r="D56" s="72" t="s">
        <v>262</v>
      </c>
      <c r="E56" s="73"/>
      <c r="F56" s="67"/>
    </row>
    <row r="57" spans="1:6" ht="24" customHeight="1">
      <c r="A57" s="72">
        <v>54</v>
      </c>
      <c r="B57" s="53" t="s">
        <v>416</v>
      </c>
      <c r="C57" s="53" t="s">
        <v>445</v>
      </c>
      <c r="D57" s="72" t="s">
        <v>262</v>
      </c>
      <c r="E57" s="73"/>
      <c r="F57" s="67"/>
    </row>
    <row r="58" spans="1:6" ht="24" customHeight="1">
      <c r="A58" s="72">
        <v>55</v>
      </c>
      <c r="B58" s="53" t="s">
        <v>416</v>
      </c>
      <c r="C58" s="53" t="s">
        <v>448</v>
      </c>
      <c r="D58" s="72" t="s">
        <v>193</v>
      </c>
      <c r="E58" s="73"/>
      <c r="F58" s="67"/>
    </row>
    <row r="59" spans="1:6" ht="180" customHeight="1">
      <c r="A59" s="44">
        <v>56</v>
      </c>
      <c r="B59" s="45" t="s">
        <v>416</v>
      </c>
      <c r="C59" s="45" t="s">
        <v>452</v>
      </c>
      <c r="D59" s="44" t="s">
        <v>193</v>
      </c>
      <c r="E59" s="71">
        <v>62</v>
      </c>
      <c r="F59" s="46" t="s">
        <v>958</v>
      </c>
    </row>
    <row r="60" spans="1:6" ht="180" customHeight="1">
      <c r="A60" s="44">
        <v>57</v>
      </c>
      <c r="B60" s="45" t="s">
        <v>457</v>
      </c>
      <c r="C60" s="45" t="s">
        <v>458</v>
      </c>
      <c r="D60" s="44" t="s">
        <v>193</v>
      </c>
      <c r="E60" s="68">
        <v>54</v>
      </c>
      <c r="F60" s="46" t="s">
        <v>959</v>
      </c>
    </row>
    <row r="61" spans="1:6" ht="24" customHeight="1">
      <c r="A61" s="72">
        <v>58</v>
      </c>
      <c r="B61" s="53" t="s">
        <v>457</v>
      </c>
      <c r="C61" s="53" t="s">
        <v>462</v>
      </c>
      <c r="D61" s="72" t="s">
        <v>262</v>
      </c>
      <c r="E61" s="73"/>
      <c r="F61" s="67"/>
    </row>
    <row r="62" spans="1:6" ht="180" customHeight="1">
      <c r="A62" s="44">
        <v>59</v>
      </c>
      <c r="B62" s="45" t="s">
        <v>457</v>
      </c>
      <c r="C62" s="45" t="s">
        <v>465</v>
      </c>
      <c r="D62" s="44" t="s">
        <v>193</v>
      </c>
      <c r="E62" s="69">
        <v>30</v>
      </c>
      <c r="F62" s="46" t="s">
        <v>960</v>
      </c>
    </row>
    <row r="63" spans="1:6" ht="180" customHeight="1">
      <c r="A63" s="44">
        <v>60</v>
      </c>
      <c r="B63" s="45" t="s">
        <v>457</v>
      </c>
      <c r="C63" s="45" t="s">
        <v>469</v>
      </c>
      <c r="D63" s="44" t="s">
        <v>193</v>
      </c>
      <c r="E63" s="69">
        <v>28</v>
      </c>
      <c r="F63" s="46" t="s">
        <v>961</v>
      </c>
    </row>
    <row r="64" spans="1:6" ht="180" customHeight="1">
      <c r="A64" s="44">
        <v>61</v>
      </c>
      <c r="B64" s="45" t="s">
        <v>457</v>
      </c>
      <c r="C64" s="45" t="s">
        <v>473</v>
      </c>
      <c r="D64" s="44" t="s">
        <v>193</v>
      </c>
      <c r="E64" s="69">
        <v>34</v>
      </c>
      <c r="F64" s="46" t="s">
        <v>962</v>
      </c>
    </row>
    <row r="65" spans="1:6" ht="180" customHeight="1">
      <c r="A65" s="44">
        <v>62</v>
      </c>
      <c r="B65" s="45" t="s">
        <v>457</v>
      </c>
      <c r="C65" s="45" t="s">
        <v>476</v>
      </c>
      <c r="D65" s="44" t="s">
        <v>193</v>
      </c>
      <c r="E65" s="69">
        <v>22</v>
      </c>
      <c r="F65" s="46" t="s">
        <v>963</v>
      </c>
    </row>
    <row r="66" spans="1:6" ht="180" customHeight="1">
      <c r="A66" s="44">
        <v>63</v>
      </c>
      <c r="B66" s="45" t="s">
        <v>457</v>
      </c>
      <c r="C66" s="45" t="s">
        <v>480</v>
      </c>
      <c r="D66" s="44" t="s">
        <v>193</v>
      </c>
      <c r="E66" s="69">
        <v>28</v>
      </c>
      <c r="F66" s="46" t="s">
        <v>964</v>
      </c>
    </row>
    <row r="67" spans="1:6" ht="180" customHeight="1">
      <c r="A67" s="44">
        <v>64</v>
      </c>
      <c r="B67" s="45" t="s">
        <v>457</v>
      </c>
      <c r="C67" s="45" t="s">
        <v>484</v>
      </c>
      <c r="D67" s="44" t="s">
        <v>193</v>
      </c>
      <c r="E67" s="69">
        <v>30</v>
      </c>
      <c r="F67" s="46" t="s">
        <v>965</v>
      </c>
    </row>
    <row r="68" spans="1:6" ht="180" customHeight="1">
      <c r="A68" s="44">
        <v>65</v>
      </c>
      <c r="B68" s="45" t="s">
        <v>457</v>
      </c>
      <c r="C68" s="45" t="s">
        <v>487</v>
      </c>
      <c r="D68" s="44" t="s">
        <v>193</v>
      </c>
      <c r="E68" s="69">
        <v>0</v>
      </c>
      <c r="F68" s="46" t="s">
        <v>966</v>
      </c>
    </row>
    <row r="69" spans="1:6" ht="180" customHeight="1">
      <c r="A69" s="44">
        <v>66</v>
      </c>
      <c r="B69" s="45" t="s">
        <v>492</v>
      </c>
      <c r="C69" s="45" t="s">
        <v>493</v>
      </c>
      <c r="D69" s="44" t="s">
        <v>193</v>
      </c>
      <c r="E69" s="71">
        <v>62</v>
      </c>
      <c r="F69" s="46" t="s">
        <v>967</v>
      </c>
    </row>
    <row r="70" spans="1:6" ht="180" customHeight="1">
      <c r="A70" s="44">
        <v>67</v>
      </c>
      <c r="B70" s="45" t="s">
        <v>492</v>
      </c>
      <c r="C70" s="45" t="s">
        <v>498</v>
      </c>
      <c r="D70" s="44" t="s">
        <v>193</v>
      </c>
      <c r="E70" s="71">
        <v>68</v>
      </c>
      <c r="F70" s="46" t="s">
        <v>968</v>
      </c>
    </row>
    <row r="71" spans="1:6" ht="180" customHeight="1">
      <c r="A71" s="44">
        <v>68</v>
      </c>
      <c r="B71" s="45" t="s">
        <v>492</v>
      </c>
      <c r="C71" s="45" t="s">
        <v>501</v>
      </c>
      <c r="D71" s="44" t="s">
        <v>193</v>
      </c>
      <c r="E71" s="71">
        <v>64</v>
      </c>
      <c r="F71" s="46" t="s">
        <v>969</v>
      </c>
    </row>
  </sheetData>
  <autoFilter ref="A3:F71" xr:uid="{00000000-0009-0000-0000-000006000000}"/>
  <mergeCells count="1">
    <mergeCell ref="A1:F1"/>
  </mergeCells>
  <conditionalFormatting sqref="E4:E71">
    <cfRule type="colorScale" priority="1">
      <colorScale>
        <cfvo type="num" val="0"/>
        <cfvo type="num" val="50"/>
        <cfvo type="num" val="100"/>
        <color rgb="FFE85D5D"/>
        <color rgb="FFFFEB99"/>
        <color rgb="FF7BC97B"/>
      </colorScale>
    </cfRule>
  </conditionalFormatting>
  <dataValidations count="1">
    <dataValidation type="decimal" allowBlank="1" errorTitle="Invalid score" error="Score must be a number between 0 and 100, or blank." sqref="E4 E5 E6 E7 E8 E9 E10 E11 E12 E13 E14 E15 E16 E19 E20 E21 E22 E23 E24 E25 E26 E27 E28 E30 E31 E32 E33 E34 E35 E36 E37 E38 E39 E40 E41 E42 E43 E44 E45 E47 E48 E49 E58 E59 E60 E62 E63 E64 E65 E66 E67 E68 E69 E70 E71" xr:uid="{00000000-0002-0000-0600-000000000000}">
      <formula1>0</formula1>
      <formula2>100</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1"/>
  <sheetViews>
    <sheetView workbookViewId="0">
      <pane xSplit="3" ySplit="3" topLeftCell="D4" activePane="bottomRight" state="frozen"/>
      <selection pane="bottomRight" activeCell="A62" sqref="A62:XFD71"/>
      <selection pane="bottomLeft"/>
      <selection pane="topRight"/>
    </sheetView>
  </sheetViews>
  <sheetFormatPr defaultColWidth="8.85546875" defaultRowHeight="15"/>
  <cols>
    <col min="1" max="1" width="5" customWidth="1"/>
    <col min="2" max="2" width="16" customWidth="1"/>
    <col min="3" max="3" width="42" customWidth="1"/>
    <col min="4" max="4" width="9" customWidth="1"/>
    <col min="5" max="5" width="14" customWidth="1"/>
    <col min="6" max="6" width="50" customWidth="1"/>
    <col min="8" max="8" width="22" customWidth="1"/>
    <col min="9" max="9" width="14" customWidth="1"/>
  </cols>
  <sheetData>
    <row r="1" spans="1:9" ht="27.95" customHeight="1">
      <c r="A1" s="80" t="str">
        <f>CONCATENATE("Score Input — ", 'Snapshot Setup'!B9)</f>
        <v>Score Input — Seventh Generation</v>
      </c>
      <c r="B1" s="81"/>
      <c r="C1" s="81"/>
      <c r="D1" s="81"/>
      <c r="E1" s="81"/>
      <c r="F1" s="81"/>
    </row>
    <row r="2" spans="1:9">
      <c r="A2" s="20" t="str">
        <f>CONCATENATE("Snapshot Date: ", TEXT('Snapshot Setup'!B4, "mmm yyyy"))</f>
        <v>Snapshot Date: Jun 2026</v>
      </c>
      <c r="H2" s="21" t="s">
        <v>854</v>
      </c>
    </row>
    <row r="3" spans="1:9">
      <c r="A3" s="9" t="s">
        <v>179</v>
      </c>
      <c r="B3" s="9" t="s">
        <v>180</v>
      </c>
      <c r="C3" s="9" t="s">
        <v>181</v>
      </c>
      <c r="D3" s="9" t="s">
        <v>182</v>
      </c>
      <c r="E3" s="9" t="s">
        <v>855</v>
      </c>
      <c r="F3" s="9" t="s">
        <v>146</v>
      </c>
      <c r="H3" s="10" t="s">
        <v>856</v>
      </c>
      <c r="I3" s="22">
        <v>53</v>
      </c>
    </row>
    <row r="4" spans="1:9" ht="180" customHeight="1">
      <c r="A4" s="44">
        <v>1</v>
      </c>
      <c r="B4" s="45" t="s">
        <v>191</v>
      </c>
      <c r="C4" s="45" t="s">
        <v>192</v>
      </c>
      <c r="D4" s="44" t="s">
        <v>193</v>
      </c>
      <c r="E4" s="74">
        <v>86</v>
      </c>
      <c r="F4" s="46" t="s">
        <v>970</v>
      </c>
      <c r="H4" s="10" t="s">
        <v>857</v>
      </c>
      <c r="I4" s="22">
        <f>SUMPRODUCT(--ISNUMBER(E4:E71))</f>
        <v>53</v>
      </c>
    </row>
    <row r="5" spans="1:9" ht="180" customHeight="1">
      <c r="A5" s="44">
        <v>2</v>
      </c>
      <c r="B5" s="45" t="s">
        <v>191</v>
      </c>
      <c r="C5" s="45" t="s">
        <v>199</v>
      </c>
      <c r="D5" s="44" t="s">
        <v>193</v>
      </c>
      <c r="E5" s="76">
        <v>66</v>
      </c>
      <c r="F5" s="46" t="s">
        <v>971</v>
      </c>
      <c r="H5" s="10" t="s">
        <v>858</v>
      </c>
      <c r="I5" s="24">
        <f>IFERROR(I4/I3,0)</f>
        <v>1</v>
      </c>
    </row>
    <row r="6" spans="1:9" ht="180" customHeight="1">
      <c r="A6" s="44">
        <v>3</v>
      </c>
      <c r="B6" s="45" t="s">
        <v>191</v>
      </c>
      <c r="C6" s="45" t="s">
        <v>204</v>
      </c>
      <c r="D6" s="44" t="s">
        <v>193</v>
      </c>
      <c r="E6" s="74">
        <v>88</v>
      </c>
      <c r="F6" s="46" t="s">
        <v>972</v>
      </c>
      <c r="H6" s="10" t="s">
        <v>859</v>
      </c>
      <c r="I6" s="22">
        <f>COUNTIFS(E4:E71,"&lt;0")+COUNTIFS(E4:E71,"&gt;100")</f>
        <v>0</v>
      </c>
    </row>
    <row r="7" spans="1:9" ht="180" customHeight="1">
      <c r="A7" s="44">
        <v>4</v>
      </c>
      <c r="B7" s="45" t="s">
        <v>191</v>
      </c>
      <c r="C7" s="45" t="s">
        <v>209</v>
      </c>
      <c r="D7" s="44" t="s">
        <v>193</v>
      </c>
      <c r="E7" s="75">
        <v>56</v>
      </c>
      <c r="F7" s="46" t="s">
        <v>973</v>
      </c>
    </row>
    <row r="8" spans="1:9" ht="180" customHeight="1">
      <c r="A8" s="44">
        <v>5</v>
      </c>
      <c r="B8" s="45" t="s">
        <v>191</v>
      </c>
      <c r="C8" s="45" t="s">
        <v>214</v>
      </c>
      <c r="D8" s="44" t="s">
        <v>193</v>
      </c>
      <c r="E8" s="76">
        <v>62</v>
      </c>
      <c r="F8" s="46" t="s">
        <v>974</v>
      </c>
    </row>
    <row r="9" spans="1:9" ht="180" customHeight="1">
      <c r="A9" s="44">
        <v>6</v>
      </c>
      <c r="B9" s="45" t="s">
        <v>191</v>
      </c>
      <c r="C9" s="45" t="s">
        <v>219</v>
      </c>
      <c r="D9" s="44" t="s">
        <v>193</v>
      </c>
      <c r="E9" s="74">
        <v>82</v>
      </c>
      <c r="F9" s="46" t="s">
        <v>975</v>
      </c>
    </row>
    <row r="10" spans="1:9" ht="180" customHeight="1">
      <c r="A10" s="44">
        <v>7</v>
      </c>
      <c r="B10" s="45" t="s">
        <v>191</v>
      </c>
      <c r="C10" s="45" t="s">
        <v>223</v>
      </c>
      <c r="D10" s="44" t="s">
        <v>193</v>
      </c>
      <c r="E10" s="75">
        <v>48</v>
      </c>
      <c r="F10" s="46" t="s">
        <v>976</v>
      </c>
    </row>
    <row r="11" spans="1:9" ht="180" customHeight="1">
      <c r="A11" s="44">
        <v>8</v>
      </c>
      <c r="B11" s="45" t="s">
        <v>191</v>
      </c>
      <c r="C11" s="45" t="s">
        <v>230</v>
      </c>
      <c r="D11" s="44" t="s">
        <v>193</v>
      </c>
      <c r="E11" s="75">
        <v>42</v>
      </c>
      <c r="F11" s="46" t="s">
        <v>977</v>
      </c>
    </row>
    <row r="12" spans="1:9" ht="75" customHeight="1">
      <c r="A12" s="72">
        <v>9</v>
      </c>
      <c r="B12" s="53" t="s">
        <v>191</v>
      </c>
      <c r="C12" s="53" t="s">
        <v>236</v>
      </c>
      <c r="D12" s="72" t="s">
        <v>193</v>
      </c>
      <c r="E12" s="73"/>
      <c r="F12" s="67" t="s">
        <v>978</v>
      </c>
    </row>
    <row r="13" spans="1:9" ht="200.1" customHeight="1">
      <c r="A13" s="44">
        <v>10</v>
      </c>
      <c r="B13" s="45" t="s">
        <v>191</v>
      </c>
      <c r="C13" s="45" t="s">
        <v>240</v>
      </c>
      <c r="D13" s="44" t="s">
        <v>193</v>
      </c>
      <c r="E13" s="75">
        <v>52</v>
      </c>
      <c r="F13" s="46" t="s">
        <v>979</v>
      </c>
    </row>
    <row r="14" spans="1:9" ht="200.1" customHeight="1">
      <c r="A14" s="44">
        <v>11</v>
      </c>
      <c r="B14" s="45" t="s">
        <v>191</v>
      </c>
      <c r="C14" s="45" t="s">
        <v>246</v>
      </c>
      <c r="D14" s="44" t="s">
        <v>193</v>
      </c>
      <c r="E14" s="75">
        <v>56</v>
      </c>
      <c r="F14" s="46" t="s">
        <v>980</v>
      </c>
    </row>
    <row r="15" spans="1:9" ht="200.1" customHeight="1">
      <c r="A15" s="44">
        <v>12</v>
      </c>
      <c r="B15" s="45" t="s">
        <v>191</v>
      </c>
      <c r="C15" s="45" t="s">
        <v>250</v>
      </c>
      <c r="D15" s="44" t="s">
        <v>193</v>
      </c>
      <c r="E15" s="74">
        <v>76</v>
      </c>
      <c r="F15" s="46" t="s">
        <v>981</v>
      </c>
    </row>
    <row r="16" spans="1:9" ht="200.1" customHeight="1">
      <c r="A16" s="44">
        <v>13</v>
      </c>
      <c r="B16" s="45" t="s">
        <v>191</v>
      </c>
      <c r="C16" s="45" t="s">
        <v>256</v>
      </c>
      <c r="D16" s="44" t="s">
        <v>193</v>
      </c>
      <c r="E16" s="76">
        <v>70</v>
      </c>
      <c r="F16" s="46" t="s">
        <v>982</v>
      </c>
    </row>
    <row r="17" spans="1:6" ht="75" customHeight="1">
      <c r="A17" s="72">
        <v>14</v>
      </c>
      <c r="B17" s="53" t="s">
        <v>191</v>
      </c>
      <c r="C17" s="53" t="s">
        <v>261</v>
      </c>
      <c r="D17" s="72" t="s">
        <v>262</v>
      </c>
      <c r="E17" s="73"/>
      <c r="F17" s="67" t="s">
        <v>983</v>
      </c>
    </row>
    <row r="18" spans="1:6" ht="75" customHeight="1">
      <c r="A18" s="72">
        <v>15</v>
      </c>
      <c r="B18" s="53" t="s">
        <v>191</v>
      </c>
      <c r="C18" s="53" t="s">
        <v>267</v>
      </c>
      <c r="D18" s="72" t="s">
        <v>262</v>
      </c>
      <c r="E18" s="73"/>
      <c r="F18" s="67" t="s">
        <v>984</v>
      </c>
    </row>
    <row r="19" spans="1:6" ht="200.1" customHeight="1">
      <c r="A19" s="44">
        <v>16</v>
      </c>
      <c r="B19" s="45" t="s">
        <v>191</v>
      </c>
      <c r="C19" s="45" t="s">
        <v>272</v>
      </c>
      <c r="D19" s="44" t="s">
        <v>193</v>
      </c>
      <c r="E19" s="76">
        <v>64</v>
      </c>
      <c r="F19" s="46" t="s">
        <v>985</v>
      </c>
    </row>
    <row r="20" spans="1:6" ht="200.1" customHeight="1">
      <c r="A20" s="44">
        <v>17</v>
      </c>
      <c r="B20" s="45" t="s">
        <v>191</v>
      </c>
      <c r="C20" s="45" t="s">
        <v>277</v>
      </c>
      <c r="D20" s="44" t="s">
        <v>193</v>
      </c>
      <c r="E20" s="75">
        <v>56</v>
      </c>
      <c r="F20" s="46" t="s">
        <v>986</v>
      </c>
    </row>
    <row r="21" spans="1:6" ht="200.1" customHeight="1">
      <c r="A21" s="44">
        <v>18</v>
      </c>
      <c r="B21" s="45" t="s">
        <v>191</v>
      </c>
      <c r="C21" s="45" t="s">
        <v>283</v>
      </c>
      <c r="D21" s="44" t="s">
        <v>193</v>
      </c>
      <c r="E21" s="76">
        <v>64</v>
      </c>
      <c r="F21" s="46" t="s">
        <v>987</v>
      </c>
    </row>
    <row r="22" spans="1:6" ht="200.1" customHeight="1">
      <c r="A22" s="44">
        <v>19</v>
      </c>
      <c r="B22" s="45" t="s">
        <v>191</v>
      </c>
      <c r="C22" s="45" t="s">
        <v>288</v>
      </c>
      <c r="D22" s="44" t="s">
        <v>193</v>
      </c>
      <c r="E22" s="75">
        <v>58</v>
      </c>
      <c r="F22" s="46" t="s">
        <v>988</v>
      </c>
    </row>
    <row r="23" spans="1:6" ht="200.1" customHeight="1">
      <c r="A23" s="44">
        <v>20</v>
      </c>
      <c r="B23" s="45" t="s">
        <v>191</v>
      </c>
      <c r="C23" s="45" t="s">
        <v>292</v>
      </c>
      <c r="D23" s="44" t="s">
        <v>193</v>
      </c>
      <c r="E23" s="75">
        <v>42</v>
      </c>
      <c r="F23" s="46" t="s">
        <v>989</v>
      </c>
    </row>
    <row r="24" spans="1:6" ht="200.1" customHeight="1">
      <c r="A24" s="44">
        <v>21</v>
      </c>
      <c r="B24" s="45" t="s">
        <v>191</v>
      </c>
      <c r="C24" s="45" t="s">
        <v>297</v>
      </c>
      <c r="D24" s="44" t="s">
        <v>193</v>
      </c>
      <c r="E24" s="76">
        <v>60</v>
      </c>
      <c r="F24" s="46" t="s">
        <v>990</v>
      </c>
    </row>
    <row r="25" spans="1:6" ht="200.1" customHeight="1">
      <c r="A25" s="44">
        <v>22</v>
      </c>
      <c r="B25" s="45" t="s">
        <v>191</v>
      </c>
      <c r="C25" s="45" t="s">
        <v>302</v>
      </c>
      <c r="D25" s="44" t="s">
        <v>193</v>
      </c>
      <c r="E25" s="75">
        <v>50</v>
      </c>
      <c r="F25" s="46" t="s">
        <v>991</v>
      </c>
    </row>
    <row r="26" spans="1:6" ht="200.1" customHeight="1">
      <c r="A26" s="44">
        <v>23</v>
      </c>
      <c r="B26" s="45" t="s">
        <v>191</v>
      </c>
      <c r="C26" s="45" t="s">
        <v>307</v>
      </c>
      <c r="D26" s="44" t="s">
        <v>193</v>
      </c>
      <c r="E26" s="75">
        <v>58</v>
      </c>
      <c r="F26" s="46" t="s">
        <v>992</v>
      </c>
    </row>
    <row r="27" spans="1:6" ht="200.1" customHeight="1">
      <c r="A27" s="44">
        <v>24</v>
      </c>
      <c r="B27" s="45" t="s">
        <v>191</v>
      </c>
      <c r="C27" s="45" t="s">
        <v>312</v>
      </c>
      <c r="D27" s="44" t="s">
        <v>193</v>
      </c>
      <c r="E27" s="75">
        <v>58</v>
      </c>
      <c r="F27" s="46" t="s">
        <v>993</v>
      </c>
    </row>
    <row r="28" spans="1:6" ht="200.1" customHeight="1">
      <c r="A28" s="44">
        <v>25</v>
      </c>
      <c r="B28" s="45" t="s">
        <v>191</v>
      </c>
      <c r="C28" s="45" t="s">
        <v>318</v>
      </c>
      <c r="D28" s="44" t="s">
        <v>193</v>
      </c>
      <c r="E28" s="77">
        <v>34</v>
      </c>
      <c r="F28" s="46" t="s">
        <v>994</v>
      </c>
    </row>
    <row r="29" spans="1:6" ht="200.1" customHeight="1">
      <c r="A29" s="44">
        <v>26</v>
      </c>
      <c r="B29" s="45" t="s">
        <v>323</v>
      </c>
      <c r="C29" s="45" t="s">
        <v>324</v>
      </c>
      <c r="D29" s="44" t="s">
        <v>193</v>
      </c>
      <c r="E29" s="71">
        <v>70</v>
      </c>
      <c r="F29" s="46" t="s">
        <v>995</v>
      </c>
    </row>
    <row r="30" spans="1:6" ht="200.1" customHeight="1">
      <c r="A30" s="44">
        <v>27</v>
      </c>
      <c r="B30" s="45" t="s">
        <v>323</v>
      </c>
      <c r="C30" s="45" t="s">
        <v>329</v>
      </c>
      <c r="D30" s="44" t="s">
        <v>193</v>
      </c>
      <c r="E30" s="71">
        <v>68</v>
      </c>
      <c r="F30" s="46" t="s">
        <v>996</v>
      </c>
    </row>
    <row r="31" spans="1:6" ht="200.1" customHeight="1">
      <c r="A31" s="44">
        <v>28</v>
      </c>
      <c r="B31" s="45" t="s">
        <v>323</v>
      </c>
      <c r="C31" s="45" t="s">
        <v>333</v>
      </c>
      <c r="D31" s="44" t="s">
        <v>193</v>
      </c>
      <c r="E31" s="71">
        <v>70</v>
      </c>
      <c r="F31" s="46" t="s">
        <v>997</v>
      </c>
    </row>
    <row r="32" spans="1:6" ht="24" customHeight="1">
      <c r="A32" s="72">
        <v>29</v>
      </c>
      <c r="B32" s="53" t="s">
        <v>323</v>
      </c>
      <c r="C32" s="53" t="s">
        <v>339</v>
      </c>
      <c r="D32" s="72" t="s">
        <v>262</v>
      </c>
      <c r="E32" s="73"/>
      <c r="F32" s="67"/>
    </row>
    <row r="33" spans="1:6" ht="200.1" customHeight="1">
      <c r="A33" s="44">
        <v>30</v>
      </c>
      <c r="B33" s="45" t="s">
        <v>323</v>
      </c>
      <c r="C33" s="45" t="s">
        <v>343</v>
      </c>
      <c r="D33" s="44" t="s">
        <v>193</v>
      </c>
      <c r="E33" s="71">
        <v>66</v>
      </c>
      <c r="F33" s="46" t="s">
        <v>998</v>
      </c>
    </row>
    <row r="34" spans="1:6" ht="200.1" customHeight="1">
      <c r="A34" s="44">
        <v>31</v>
      </c>
      <c r="B34" s="45" t="s">
        <v>323</v>
      </c>
      <c r="C34" s="45" t="s">
        <v>347</v>
      </c>
      <c r="D34" s="44" t="s">
        <v>193</v>
      </c>
      <c r="E34" s="71">
        <v>74</v>
      </c>
      <c r="F34" s="46" t="s">
        <v>999</v>
      </c>
    </row>
    <row r="35" spans="1:6" ht="200.1" customHeight="1">
      <c r="A35" s="44">
        <v>32</v>
      </c>
      <c r="B35" s="45" t="s">
        <v>323</v>
      </c>
      <c r="C35" s="45" t="s">
        <v>352</v>
      </c>
      <c r="D35" s="44" t="s">
        <v>193</v>
      </c>
      <c r="E35" s="71">
        <v>70</v>
      </c>
      <c r="F35" s="46" t="s">
        <v>1000</v>
      </c>
    </row>
    <row r="36" spans="1:6" ht="200.1" customHeight="1">
      <c r="A36" s="44">
        <v>33</v>
      </c>
      <c r="B36" s="45" t="s">
        <v>323</v>
      </c>
      <c r="C36" s="45" t="s">
        <v>358</v>
      </c>
      <c r="D36" s="44" t="s">
        <v>193</v>
      </c>
      <c r="E36" s="71">
        <v>68</v>
      </c>
      <c r="F36" s="46" t="s">
        <v>1001</v>
      </c>
    </row>
    <row r="37" spans="1:6" ht="200.1" customHeight="1">
      <c r="A37" s="44">
        <v>34</v>
      </c>
      <c r="B37" s="45" t="s">
        <v>323</v>
      </c>
      <c r="C37" s="45" t="s">
        <v>363</v>
      </c>
      <c r="D37" s="44" t="s">
        <v>193</v>
      </c>
      <c r="E37" s="71">
        <v>70</v>
      </c>
      <c r="F37" s="46" t="s">
        <v>1002</v>
      </c>
    </row>
    <row r="38" spans="1:6" ht="200.1" customHeight="1">
      <c r="A38" s="44">
        <v>35</v>
      </c>
      <c r="B38" s="45" t="s">
        <v>323</v>
      </c>
      <c r="C38" s="45" t="s">
        <v>369</v>
      </c>
      <c r="D38" s="44" t="s">
        <v>193</v>
      </c>
      <c r="E38" s="71">
        <v>72</v>
      </c>
      <c r="F38" s="46" t="s">
        <v>1003</v>
      </c>
    </row>
    <row r="39" spans="1:6" ht="200.1" customHeight="1">
      <c r="A39" s="44">
        <v>36</v>
      </c>
      <c r="B39" s="45" t="s">
        <v>323</v>
      </c>
      <c r="C39" s="45" t="s">
        <v>372</v>
      </c>
      <c r="D39" s="44" t="s">
        <v>193</v>
      </c>
      <c r="E39" s="71">
        <v>70</v>
      </c>
      <c r="F39" s="46" t="s">
        <v>1004</v>
      </c>
    </row>
    <row r="40" spans="1:6" ht="200.1" customHeight="1">
      <c r="A40" s="44">
        <v>37</v>
      </c>
      <c r="B40" s="45" t="s">
        <v>323</v>
      </c>
      <c r="C40" s="45" t="s">
        <v>377</v>
      </c>
      <c r="D40" s="44" t="s">
        <v>193</v>
      </c>
      <c r="E40" s="71">
        <v>70</v>
      </c>
      <c r="F40" s="46" t="s">
        <v>1005</v>
      </c>
    </row>
    <row r="41" spans="1:6" ht="200.1" customHeight="1">
      <c r="A41" s="44">
        <v>38</v>
      </c>
      <c r="B41" s="45" t="s">
        <v>323</v>
      </c>
      <c r="C41" s="45" t="s">
        <v>381</v>
      </c>
      <c r="D41" s="44" t="s">
        <v>193</v>
      </c>
      <c r="E41" s="71">
        <v>70</v>
      </c>
      <c r="F41" s="46" t="s">
        <v>1006</v>
      </c>
    </row>
    <row r="42" spans="1:6" ht="200.1" customHeight="1">
      <c r="A42" s="44">
        <v>39</v>
      </c>
      <c r="B42" s="45" t="s">
        <v>323</v>
      </c>
      <c r="C42" s="45" t="s">
        <v>384</v>
      </c>
      <c r="D42" s="44" t="s">
        <v>193</v>
      </c>
      <c r="E42" s="71">
        <v>68</v>
      </c>
      <c r="F42" s="46" t="s">
        <v>1007</v>
      </c>
    </row>
    <row r="43" spans="1:6" ht="200.1" customHeight="1">
      <c r="A43" s="44">
        <v>40</v>
      </c>
      <c r="B43" s="45" t="s">
        <v>323</v>
      </c>
      <c r="C43" s="45" t="s">
        <v>388</v>
      </c>
      <c r="D43" s="44" t="s">
        <v>193</v>
      </c>
      <c r="E43" s="71">
        <v>68</v>
      </c>
      <c r="F43" s="46" t="s">
        <v>1008</v>
      </c>
    </row>
    <row r="44" spans="1:6" ht="200.1" customHeight="1">
      <c r="A44" s="44">
        <v>41</v>
      </c>
      <c r="B44" s="45" t="s">
        <v>323</v>
      </c>
      <c r="C44" s="45" t="s">
        <v>393</v>
      </c>
      <c r="D44" s="44" t="s">
        <v>193</v>
      </c>
      <c r="E44" s="71">
        <v>62</v>
      </c>
      <c r="F44" s="46" t="s">
        <v>1009</v>
      </c>
    </row>
    <row r="45" spans="1:6" ht="200.1" customHeight="1">
      <c r="A45" s="44">
        <v>42</v>
      </c>
      <c r="B45" s="45" t="s">
        <v>323</v>
      </c>
      <c r="C45" s="45" t="s">
        <v>398</v>
      </c>
      <c r="D45" s="44" t="s">
        <v>193</v>
      </c>
      <c r="E45" s="71">
        <v>70</v>
      </c>
      <c r="F45" s="46" t="s">
        <v>1010</v>
      </c>
    </row>
    <row r="46" spans="1:6" ht="200.1" customHeight="1">
      <c r="A46" s="44">
        <v>43</v>
      </c>
      <c r="B46" s="45" t="s">
        <v>323</v>
      </c>
      <c r="C46" s="45" t="s">
        <v>403</v>
      </c>
      <c r="D46" s="44" t="s">
        <v>193</v>
      </c>
      <c r="E46" s="71">
        <v>70</v>
      </c>
      <c r="F46" s="46" t="s">
        <v>1011</v>
      </c>
    </row>
    <row r="47" spans="1:6" ht="24" customHeight="1">
      <c r="A47" s="72">
        <v>44</v>
      </c>
      <c r="B47" s="53" t="s">
        <v>323</v>
      </c>
      <c r="C47" s="53" t="s">
        <v>407</v>
      </c>
      <c r="D47" s="72" t="s">
        <v>262</v>
      </c>
      <c r="E47" s="73"/>
      <c r="F47" s="67"/>
    </row>
    <row r="48" spans="1:6" ht="200.1" customHeight="1">
      <c r="A48" s="44">
        <v>45</v>
      </c>
      <c r="B48" s="45" t="s">
        <v>323</v>
      </c>
      <c r="C48" s="45" t="s">
        <v>411</v>
      </c>
      <c r="D48" s="44" t="s">
        <v>193</v>
      </c>
      <c r="E48" s="71">
        <v>70</v>
      </c>
      <c r="F48" s="46" t="s">
        <v>1012</v>
      </c>
    </row>
    <row r="49" spans="1:6" ht="200.1" customHeight="1">
      <c r="A49" s="44">
        <v>46</v>
      </c>
      <c r="B49" s="45" t="s">
        <v>416</v>
      </c>
      <c r="C49" s="45" t="s">
        <v>417</v>
      </c>
      <c r="D49" s="44" t="s">
        <v>193</v>
      </c>
      <c r="E49" s="71">
        <v>66</v>
      </c>
      <c r="F49" s="46" t="s">
        <v>1013</v>
      </c>
    </row>
    <row r="50" spans="1:6" ht="24" customHeight="1">
      <c r="A50" s="72">
        <v>47</v>
      </c>
      <c r="B50" s="53" t="s">
        <v>416</v>
      </c>
      <c r="C50" s="53" t="s">
        <v>422</v>
      </c>
      <c r="D50" s="72" t="s">
        <v>262</v>
      </c>
      <c r="E50" s="73"/>
      <c r="F50" s="67"/>
    </row>
    <row r="51" spans="1:6" ht="24" customHeight="1">
      <c r="A51" s="72">
        <v>48</v>
      </c>
      <c r="B51" s="53" t="s">
        <v>416</v>
      </c>
      <c r="C51" s="53" t="s">
        <v>426</v>
      </c>
      <c r="D51" s="72" t="s">
        <v>262</v>
      </c>
      <c r="E51" s="73"/>
      <c r="F51" s="67"/>
    </row>
    <row r="52" spans="1:6" ht="24" customHeight="1">
      <c r="A52" s="72">
        <v>49</v>
      </c>
      <c r="B52" s="53" t="s">
        <v>416</v>
      </c>
      <c r="C52" s="53" t="s">
        <v>429</v>
      </c>
      <c r="D52" s="72" t="s">
        <v>262</v>
      </c>
      <c r="E52" s="73"/>
      <c r="F52" s="67"/>
    </row>
    <row r="53" spans="1:6" ht="24" customHeight="1">
      <c r="A53" s="72">
        <v>50</v>
      </c>
      <c r="B53" s="53" t="s">
        <v>416</v>
      </c>
      <c r="C53" s="53" t="s">
        <v>432</v>
      </c>
      <c r="D53" s="72" t="s">
        <v>262</v>
      </c>
      <c r="E53" s="73"/>
      <c r="F53" s="67"/>
    </row>
    <row r="54" spans="1:6" ht="24" customHeight="1">
      <c r="A54" s="72">
        <v>51</v>
      </c>
      <c r="B54" s="53" t="s">
        <v>416</v>
      </c>
      <c r="C54" s="53" t="s">
        <v>436</v>
      </c>
      <c r="D54" s="72" t="s">
        <v>262</v>
      </c>
      <c r="E54" s="73"/>
      <c r="F54" s="67"/>
    </row>
    <row r="55" spans="1:6" ht="24" customHeight="1">
      <c r="A55" s="72">
        <v>52</v>
      </c>
      <c r="B55" s="53" t="s">
        <v>416</v>
      </c>
      <c r="C55" s="53" t="s">
        <v>439</v>
      </c>
      <c r="D55" s="72" t="s">
        <v>262</v>
      </c>
      <c r="E55" s="73"/>
      <c r="F55" s="67"/>
    </row>
    <row r="56" spans="1:6" ht="24" customHeight="1">
      <c r="A56" s="72">
        <v>53</v>
      </c>
      <c r="B56" s="53" t="s">
        <v>416</v>
      </c>
      <c r="C56" s="53" t="s">
        <v>442</v>
      </c>
      <c r="D56" s="72" t="s">
        <v>262</v>
      </c>
      <c r="E56" s="73"/>
      <c r="F56" s="67"/>
    </row>
    <row r="57" spans="1:6" ht="24" customHeight="1">
      <c r="A57" s="72">
        <v>54</v>
      </c>
      <c r="B57" s="53" t="s">
        <v>416</v>
      </c>
      <c r="C57" s="53" t="s">
        <v>445</v>
      </c>
      <c r="D57" s="72" t="s">
        <v>262</v>
      </c>
      <c r="E57" s="73"/>
      <c r="F57" s="67"/>
    </row>
    <row r="58" spans="1:6" ht="24" customHeight="1">
      <c r="A58" s="72">
        <v>55</v>
      </c>
      <c r="B58" s="53" t="s">
        <v>416</v>
      </c>
      <c r="C58" s="53" t="s">
        <v>448</v>
      </c>
      <c r="D58" s="72" t="s">
        <v>193</v>
      </c>
      <c r="E58" s="73"/>
      <c r="F58" s="67"/>
    </row>
    <row r="59" spans="1:6" ht="200.1" customHeight="1">
      <c r="A59" s="44">
        <v>56</v>
      </c>
      <c r="B59" s="45" t="s">
        <v>416</v>
      </c>
      <c r="C59" s="45" t="s">
        <v>452</v>
      </c>
      <c r="D59" s="44" t="s">
        <v>193</v>
      </c>
      <c r="E59" s="68">
        <v>58</v>
      </c>
      <c r="F59" s="46" t="s">
        <v>1014</v>
      </c>
    </row>
    <row r="60" spans="1:6" ht="200.1" customHeight="1">
      <c r="A60" s="44">
        <v>57</v>
      </c>
      <c r="B60" s="45" t="s">
        <v>457</v>
      </c>
      <c r="C60" s="45" t="s">
        <v>458</v>
      </c>
      <c r="D60" s="44" t="s">
        <v>193</v>
      </c>
      <c r="E60" s="71">
        <v>66</v>
      </c>
      <c r="F60" s="46" t="s">
        <v>1015</v>
      </c>
    </row>
    <row r="61" spans="1:6" ht="24" customHeight="1">
      <c r="A61" s="72">
        <v>58</v>
      </c>
      <c r="B61" s="53" t="s">
        <v>457</v>
      </c>
      <c r="C61" s="53" t="s">
        <v>462</v>
      </c>
      <c r="D61" s="72" t="s">
        <v>262</v>
      </c>
      <c r="E61" s="73"/>
      <c r="F61" s="67"/>
    </row>
    <row r="62" spans="1:6" ht="200.1" customHeight="1">
      <c r="A62" s="44">
        <v>59</v>
      </c>
      <c r="B62" s="45" t="s">
        <v>457</v>
      </c>
      <c r="C62" s="45" t="s">
        <v>465</v>
      </c>
      <c r="D62" s="44" t="s">
        <v>193</v>
      </c>
      <c r="E62" s="69">
        <v>30</v>
      </c>
      <c r="F62" s="46" t="s">
        <v>1016</v>
      </c>
    </row>
    <row r="63" spans="1:6" ht="200.1" customHeight="1">
      <c r="A63" s="44">
        <v>60</v>
      </c>
      <c r="B63" s="45" t="s">
        <v>457</v>
      </c>
      <c r="C63" s="45" t="s">
        <v>469</v>
      </c>
      <c r="D63" s="44" t="s">
        <v>193</v>
      </c>
      <c r="E63" s="69">
        <v>32</v>
      </c>
      <c r="F63" s="46" t="s">
        <v>1017</v>
      </c>
    </row>
    <row r="64" spans="1:6" ht="200.1" customHeight="1">
      <c r="A64" s="44">
        <v>61</v>
      </c>
      <c r="B64" s="45" t="s">
        <v>457</v>
      </c>
      <c r="C64" s="45" t="s">
        <v>473</v>
      </c>
      <c r="D64" s="44" t="s">
        <v>193</v>
      </c>
      <c r="E64" s="69">
        <v>34</v>
      </c>
      <c r="F64" s="46" t="s">
        <v>1018</v>
      </c>
    </row>
    <row r="65" spans="1:6" ht="200.1" customHeight="1">
      <c r="A65" s="44">
        <v>62</v>
      </c>
      <c r="B65" s="45" t="s">
        <v>457</v>
      </c>
      <c r="C65" s="45" t="s">
        <v>476</v>
      </c>
      <c r="D65" s="44" t="s">
        <v>193</v>
      </c>
      <c r="E65" s="69">
        <v>22</v>
      </c>
      <c r="F65" s="46" t="s">
        <v>1019</v>
      </c>
    </row>
    <row r="66" spans="1:6" ht="200.1" customHeight="1">
      <c r="A66" s="44">
        <v>63</v>
      </c>
      <c r="B66" s="45" t="s">
        <v>457</v>
      </c>
      <c r="C66" s="45" t="s">
        <v>480</v>
      </c>
      <c r="D66" s="44" t="s">
        <v>193</v>
      </c>
      <c r="E66" s="69">
        <v>28</v>
      </c>
      <c r="F66" s="46" t="s">
        <v>1020</v>
      </c>
    </row>
    <row r="67" spans="1:6" ht="200.1" customHeight="1">
      <c r="A67" s="44">
        <v>64</v>
      </c>
      <c r="B67" s="45" t="s">
        <v>457</v>
      </c>
      <c r="C67" s="45" t="s">
        <v>484</v>
      </c>
      <c r="D67" s="44" t="s">
        <v>193</v>
      </c>
      <c r="E67" s="69">
        <v>30</v>
      </c>
      <c r="F67" s="46" t="s">
        <v>1021</v>
      </c>
    </row>
    <row r="68" spans="1:6" ht="200.1" customHeight="1">
      <c r="A68" s="44">
        <v>65</v>
      </c>
      <c r="B68" s="45" t="s">
        <v>457</v>
      </c>
      <c r="C68" s="45" t="s">
        <v>487</v>
      </c>
      <c r="D68" s="44" t="s">
        <v>193</v>
      </c>
      <c r="E68" s="69">
        <v>0</v>
      </c>
      <c r="F68" s="46" t="s">
        <v>1022</v>
      </c>
    </row>
    <row r="69" spans="1:6" ht="200.1" customHeight="1">
      <c r="A69" s="44">
        <v>66</v>
      </c>
      <c r="B69" s="45" t="s">
        <v>492</v>
      </c>
      <c r="C69" s="45" t="s">
        <v>493</v>
      </c>
      <c r="D69" s="44" t="s">
        <v>193</v>
      </c>
      <c r="E69" s="71">
        <v>66</v>
      </c>
      <c r="F69" s="46" t="s">
        <v>1023</v>
      </c>
    </row>
    <row r="70" spans="1:6" ht="200.1" customHeight="1">
      <c r="A70" s="44">
        <v>67</v>
      </c>
      <c r="B70" s="45" t="s">
        <v>492</v>
      </c>
      <c r="C70" s="45" t="s">
        <v>498</v>
      </c>
      <c r="D70" s="44" t="s">
        <v>193</v>
      </c>
      <c r="E70" s="71">
        <v>70</v>
      </c>
      <c r="F70" s="46" t="s">
        <v>1024</v>
      </c>
    </row>
    <row r="71" spans="1:6" ht="200.1" customHeight="1">
      <c r="A71" s="44">
        <v>68</v>
      </c>
      <c r="B71" s="45" t="s">
        <v>492</v>
      </c>
      <c r="C71" s="45" t="s">
        <v>501</v>
      </c>
      <c r="D71" s="44" t="s">
        <v>193</v>
      </c>
      <c r="E71" s="71">
        <v>62</v>
      </c>
      <c r="F71" s="46" t="s">
        <v>1025</v>
      </c>
    </row>
  </sheetData>
  <autoFilter ref="A3:F71" xr:uid="{00000000-0009-0000-0000-000007000000}"/>
  <mergeCells count="1">
    <mergeCell ref="A1:F1"/>
  </mergeCells>
  <conditionalFormatting sqref="E4:E71">
    <cfRule type="colorScale" priority="1">
      <colorScale>
        <cfvo type="num" val="0"/>
        <cfvo type="num" val="50"/>
        <cfvo type="num" val="100"/>
        <color rgb="FFE85D5D"/>
        <color rgb="FFFFEB99"/>
        <color rgb="FF7BC97B"/>
      </colorScale>
    </cfRule>
  </conditionalFormatting>
  <dataValidations count="1">
    <dataValidation type="decimal" allowBlank="1" errorTitle="Invalid score" error="Score must be a number between 0 and 100, or blank." sqref="E4 E5 E6 E7 E8 E9 E10 E11 E12 E13 E14 E15 E16 E19 E20 E21 E22 E23 E24 E25 E26 E27 E28 E30 E31 E32 E33 E34 E35 E36 E37 E38 E39 E40 E41 E42 E43 E44 E45 E47 E48 E49 E58 E59 E60 E62 E63 E64 E65 E66 E67 E68 E69 E70 E71" xr:uid="{00000000-0002-0000-0700-000000000000}">
      <formula1>0</formula1>
      <formula2>100</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3"/>
  <sheetViews>
    <sheetView tabSelected="1" workbookViewId="0">
      <pane xSplit="3" ySplit="3" topLeftCell="D4" activePane="bottomRight" state="frozen"/>
      <selection pane="bottomRight" activeCell="E8" sqref="E8"/>
      <selection pane="bottomLeft"/>
      <selection pane="topRight"/>
    </sheetView>
  </sheetViews>
  <sheetFormatPr defaultColWidth="8.85546875" defaultRowHeight="15"/>
  <cols>
    <col min="1" max="1" width="11" customWidth="1"/>
    <col min="2" max="2" width="38" customWidth="1"/>
    <col min="3" max="3" width="30" customWidth="1"/>
    <col min="4" max="10" width="16" customWidth="1"/>
    <col min="11" max="11" width="11" customWidth="1"/>
  </cols>
  <sheetData>
    <row r="1" spans="1:11" ht="27.95" customHeight="1">
      <c r="A1" s="80" t="s">
        <v>1026</v>
      </c>
      <c r="B1" s="81"/>
      <c r="C1" s="81"/>
      <c r="D1" s="81"/>
      <c r="E1" s="81"/>
      <c r="F1" s="81"/>
      <c r="G1" s="81"/>
      <c r="H1" s="81"/>
      <c r="I1" s="81"/>
      <c r="J1" s="81"/>
      <c r="K1" s="81"/>
    </row>
    <row r="3" spans="1:11">
      <c r="A3" s="9" t="s">
        <v>1027</v>
      </c>
      <c r="B3" s="9" t="s">
        <v>1028</v>
      </c>
      <c r="C3" s="9" t="s">
        <v>1029</v>
      </c>
      <c r="D3" s="9" t="str">
        <f>IF('Snapshot Setup'!B6="","",'Snapshot Setup'!B6)</f>
        <v>Lysol</v>
      </c>
      <c r="E3" s="9" t="str">
        <f>IF('Snapshot Setup'!B7="","",'Snapshot Setup'!B7)</f>
        <v>Clorox Portfolio (Clorox, Pine-Sol, Purell)</v>
      </c>
      <c r="F3" s="9" t="str">
        <f>IF('Snapshot Setup'!B8="","",'Snapshot Setup'!B8)</f>
        <v>P&amp;G Home Care (Mr. Clean, Microban 24)</v>
      </c>
      <c r="G3" s="9" t="str">
        <f>IF('Snapshot Setup'!B9="","",'Snapshot Setup'!B9)</f>
        <v>Seventh Generation</v>
      </c>
      <c r="H3" s="9"/>
      <c r="I3" s="9"/>
      <c r="J3" s="9"/>
      <c r="K3" s="9" t="s">
        <v>1030</v>
      </c>
    </row>
    <row r="4" spans="1:11">
      <c r="A4" s="25" t="s">
        <v>1031</v>
      </c>
      <c r="B4" s="26" t="s">
        <v>364</v>
      </c>
      <c r="C4" s="26" t="s">
        <v>170</v>
      </c>
      <c r="D4" s="27">
        <f>IFERROR(AVERAGE('Score — Lysol'!E41,'Score — Lysol'!E45,'Score — Lysol'!E37),"")</f>
        <v>51.666666666666664</v>
      </c>
      <c r="E4" s="27">
        <f>IFERROR(AVERAGE('Score — Comp 1'!E41,'Score — Comp 1'!E45,'Score — Comp 1'!E37),"")</f>
        <v>74</v>
      </c>
      <c r="F4" s="27">
        <f>IFERROR(AVERAGE('Score — Comp 2'!E41,'Score — Comp 2'!E45,'Score — Comp 2'!E37),"")</f>
        <v>56.666666666666664</v>
      </c>
      <c r="G4" s="27">
        <f>IFERROR(AVERAGE('Score — Comp 3'!E41,'Score — Comp 3'!E45,'Score — Comp 3'!E37),"")</f>
        <v>70</v>
      </c>
      <c r="H4" s="27"/>
      <c r="I4" s="27"/>
      <c r="J4" s="27"/>
      <c r="K4" s="23">
        <v>3</v>
      </c>
    </row>
    <row r="5" spans="1:11">
      <c r="A5" s="25" t="s">
        <v>1032</v>
      </c>
      <c r="B5" s="26" t="s">
        <v>284</v>
      </c>
      <c r="C5" s="26" t="s">
        <v>170</v>
      </c>
      <c r="D5" s="27">
        <f>IFERROR(AVERAGE('Score — Lysol'!E22,'Score — Lysol'!E36,'Score — Lysol'!E21,'Score — Lysol'!E40,'Score — Lysol'!E39,'Score — Lysol'!E34),"")</f>
        <v>55.5</v>
      </c>
      <c r="E5" s="27">
        <f>IFERROR(AVERAGE('Score — Comp 1'!E22,'Score — Comp 1'!E36,'Score — Comp 1'!E21,'Score — Comp 1'!E40,'Score — Comp 1'!E39,'Score — Comp 1'!E34),"")</f>
        <v>72</v>
      </c>
      <c r="F5" s="27">
        <f>IFERROR(AVERAGE('Score — Comp 2'!E22,'Score — Comp 2'!E36,'Score — Comp 2'!E21,'Score — Comp 2'!E40,'Score — Comp 2'!E39,'Score — Comp 2'!E34),"")</f>
        <v>64</v>
      </c>
      <c r="G5" s="27">
        <f>IFERROR(AVERAGE('Score — Comp 3'!E22,'Score — Comp 3'!E36,'Score — Comp 3'!E21,'Score — Comp 3'!E40,'Score — Comp 3'!E39,'Score — Comp 3'!E34),"")</f>
        <v>67.333333333333329</v>
      </c>
      <c r="H5" s="27"/>
      <c r="I5" s="27"/>
      <c r="J5" s="27"/>
      <c r="K5" s="23">
        <v>6</v>
      </c>
    </row>
    <row r="6" spans="1:11">
      <c r="A6" s="25" t="s">
        <v>1033</v>
      </c>
      <c r="B6" s="26" t="s">
        <v>353</v>
      </c>
      <c r="C6" s="26" t="s">
        <v>170</v>
      </c>
      <c r="D6" s="27">
        <f>IFERROR(AVERAGE('Score — Lysol'!E60,'Score — Lysol'!E35),"")</f>
        <v>62</v>
      </c>
      <c r="E6" s="27">
        <f>IFERROR(AVERAGE('Score — Comp 1'!E60,'Score — Comp 1'!E35),"")</f>
        <v>75</v>
      </c>
      <c r="F6" s="27">
        <f>IFERROR(AVERAGE('Score — Comp 2'!E60,'Score — Comp 2'!E35),"")</f>
        <v>56</v>
      </c>
      <c r="G6" s="27">
        <f>IFERROR(AVERAGE('Score — Comp 3'!E60,'Score — Comp 3'!E35),"")</f>
        <v>68</v>
      </c>
      <c r="H6" s="27"/>
      <c r="I6" s="27"/>
      <c r="J6" s="27"/>
      <c r="K6" s="23">
        <v>2</v>
      </c>
    </row>
    <row r="7" spans="1:11">
      <c r="A7" s="25" t="s">
        <v>1034</v>
      </c>
      <c r="B7" s="26" t="s">
        <v>389</v>
      </c>
      <c r="C7" s="26" t="s">
        <v>170</v>
      </c>
      <c r="D7" s="27">
        <f>IFERROR(AVERAGE('Score — Lysol'!E48,'Score — Lysol'!E43,'Score — Lysol'!E47),"")</f>
        <v>50</v>
      </c>
      <c r="E7" s="27">
        <f>IFERROR(AVERAGE('Score — Comp 1'!E48,'Score — Comp 1'!E43,'Score — Comp 1'!E47),"")</f>
        <v>63</v>
      </c>
      <c r="F7" s="27">
        <f>IFERROR(AVERAGE('Score — Comp 2'!E48,'Score — Comp 2'!E43,'Score — Comp 2'!E47),"")</f>
        <v>62</v>
      </c>
      <c r="G7" s="27">
        <f>IFERROR(AVERAGE('Score — Comp 3'!E48,'Score — Comp 3'!E43,'Score — Comp 3'!E47),"")</f>
        <v>69</v>
      </c>
      <c r="H7" s="27"/>
      <c r="I7" s="27"/>
      <c r="J7" s="27"/>
      <c r="K7" s="23">
        <v>3</v>
      </c>
    </row>
    <row r="8" spans="1:11">
      <c r="A8" s="25" t="s">
        <v>1035</v>
      </c>
      <c r="B8" s="26" t="s">
        <v>313</v>
      </c>
      <c r="C8" s="26" t="s">
        <v>170</v>
      </c>
      <c r="D8" s="27">
        <f>IFERROR(AVERAGE('Score — Lysol'!E71,'Score — Lysol'!E42,'Score — Lysol'!E70,'Score — Lysol'!E38,'Score — Lysol'!E27),"")</f>
        <v>50</v>
      </c>
      <c r="E8" s="27">
        <f>IFERROR(AVERAGE('Score — Comp 1'!E71,'Score — Comp 1'!E42,'Score — Comp 1'!E70,'Score — Comp 1'!E38,'Score — Comp 1'!E27),"")</f>
        <v>61.6</v>
      </c>
      <c r="F8" s="27">
        <f>IFERROR(AVERAGE('Score — Comp 2'!E71,'Score — Comp 2'!E42,'Score — Comp 2'!E70,'Score — Comp 2'!E38,'Score — Comp 2'!E27),"")</f>
        <v>61.6</v>
      </c>
      <c r="G8" s="27">
        <f>IFERROR(AVERAGE('Score — Comp 3'!E71,'Score — Comp 3'!E42,'Score — Comp 3'!E70,'Score — Comp 3'!E38,'Score — Comp 3'!E27),"")</f>
        <v>66</v>
      </c>
      <c r="H8" s="27"/>
      <c r="I8" s="27"/>
      <c r="J8" s="27"/>
      <c r="K8" s="23">
        <v>5</v>
      </c>
    </row>
    <row r="9" spans="1:11">
      <c r="A9" s="25" t="s">
        <v>1036</v>
      </c>
      <c r="B9" s="26" t="s">
        <v>194</v>
      </c>
      <c r="C9" s="26" t="s">
        <v>171</v>
      </c>
      <c r="D9" s="27">
        <f>IFERROR(AVERAGE('Score — Lysol'!E9,'Score — Lysol'!E8,'Score — Lysol'!E25,'Score — Lysol'!E23,'Score — Lysol'!E6,'Score — Lysol'!E4,'Score — Lysol'!E7,'Score — Lysol'!E28,'Score — Lysol'!E24,'Score — Lysol'!E5),"")</f>
        <v>55.4</v>
      </c>
      <c r="E9" s="27">
        <f>IFERROR(AVERAGE('Score — Comp 1'!E9,'Score — Comp 1'!E8,'Score — Comp 1'!E25,'Score — Comp 1'!E23,'Score — Comp 1'!E6,'Score — Comp 1'!E4,'Score — Comp 1'!E7,'Score — Comp 1'!E28,'Score — Comp 1'!E24,'Score — Comp 1'!E5),"")</f>
        <v>69.8</v>
      </c>
      <c r="F9" s="27">
        <f>IFERROR(AVERAGE('Score — Comp 2'!E9,'Score — Comp 2'!E8,'Score — Comp 2'!E25,'Score — Comp 2'!E23,'Score — Comp 2'!E6,'Score — Comp 2'!E4,'Score — Comp 2'!E7,'Score — Comp 2'!E28,'Score — Comp 2'!E24,'Score — Comp 2'!E5),"")</f>
        <v>65</v>
      </c>
      <c r="G9" s="27">
        <f>IFERROR(AVERAGE('Score — Comp 3'!E9,'Score — Comp 3'!E8,'Score — Comp 3'!E25,'Score — Comp 3'!E23,'Score — Comp 3'!E6,'Score — Comp 3'!E4,'Score — Comp 3'!E7,'Score — Comp 3'!E28,'Score — Comp 3'!E24,'Score — Comp 3'!E5),"")</f>
        <v>62.6</v>
      </c>
      <c r="H9" s="27"/>
      <c r="I9" s="27"/>
      <c r="J9" s="27"/>
      <c r="K9" s="23">
        <v>10</v>
      </c>
    </row>
    <row r="10" spans="1:11">
      <c r="A10" s="25" t="s">
        <v>1037</v>
      </c>
      <c r="B10" s="26" t="s">
        <v>330</v>
      </c>
      <c r="C10" s="26" t="s">
        <v>171</v>
      </c>
      <c r="D10" s="27">
        <f>IFERROR(AVERAGE('Score — Lysol'!E33,'Score — Lysol'!E30),"")</f>
        <v>58</v>
      </c>
      <c r="E10" s="27">
        <f>IFERROR(AVERAGE('Score — Comp 1'!E33,'Score — Comp 1'!E30),"")</f>
        <v>72</v>
      </c>
      <c r="F10" s="27">
        <f>IFERROR(AVERAGE('Score — Comp 2'!E33,'Score — Comp 2'!E30),"")</f>
        <v>73</v>
      </c>
      <c r="G10" s="27">
        <f>IFERROR(AVERAGE('Score — Comp 3'!E33,'Score — Comp 3'!E30),"")</f>
        <v>67</v>
      </c>
      <c r="H10" s="27"/>
      <c r="I10" s="27"/>
      <c r="J10" s="27"/>
      <c r="K10" s="23">
        <v>2</v>
      </c>
    </row>
    <row r="11" spans="1:11">
      <c r="A11" s="25" t="s">
        <v>1038</v>
      </c>
      <c r="B11" s="26" t="s">
        <v>231</v>
      </c>
      <c r="C11" s="26" t="s">
        <v>171</v>
      </c>
      <c r="D11" s="27">
        <f>IFERROR(AVERAGE('Score — Lysol'!E14,'Score — Lysol'!E12,'Score — Lysol'!E69,'Score — Lysol'!E11),"")</f>
        <v>60</v>
      </c>
      <c r="E11" s="27">
        <f>IFERROR(AVERAGE('Score — Comp 1'!E14,'Score — Comp 1'!E12,'Score — Comp 1'!E69,'Score — Comp 1'!E11),"")</f>
        <v>70</v>
      </c>
      <c r="F11" s="27">
        <f>IFERROR(AVERAGE('Score — Comp 2'!E14,'Score — Comp 2'!E12,'Score — Comp 2'!E69,'Score — Comp 2'!E11),"")</f>
        <v>53.333333333333336</v>
      </c>
      <c r="G11" s="27">
        <f>IFERROR(AVERAGE('Score — Comp 3'!E14,'Score — Comp 3'!E12,'Score — Comp 3'!E69,'Score — Comp 3'!E11),"")</f>
        <v>54.666666666666664</v>
      </c>
      <c r="H11" s="27"/>
      <c r="I11" s="27"/>
      <c r="J11" s="27"/>
      <c r="K11" s="23">
        <v>4</v>
      </c>
    </row>
    <row r="12" spans="1:11">
      <c r="A12" s="25" t="s">
        <v>1039</v>
      </c>
      <c r="B12" s="26" t="s">
        <v>251</v>
      </c>
      <c r="C12" s="26" t="s">
        <v>171</v>
      </c>
      <c r="D12" s="27">
        <f>IFERROR(AVERAGE('Score — Lysol'!E44,'Score — Lysol'!E15),"")</f>
        <v>53</v>
      </c>
      <c r="E12" s="27">
        <f>IFERROR(AVERAGE('Score — Comp 1'!E44,'Score — Comp 1'!E15),"")</f>
        <v>69</v>
      </c>
      <c r="F12" s="27">
        <f>IFERROR(AVERAGE('Score — Comp 2'!E44,'Score — Comp 2'!E15),"")</f>
        <v>64</v>
      </c>
      <c r="G12" s="27">
        <f>IFERROR(AVERAGE('Score — Comp 3'!E44,'Score — Comp 3'!E15),"")</f>
        <v>69</v>
      </c>
      <c r="H12" s="27"/>
      <c r="I12" s="27"/>
      <c r="J12" s="27"/>
      <c r="K12" s="23">
        <v>2</v>
      </c>
    </row>
    <row r="13" spans="1:11">
      <c r="A13" s="25" t="s">
        <v>1040</v>
      </c>
      <c r="B13" s="26" t="s">
        <v>325</v>
      </c>
      <c r="C13" s="26" t="s">
        <v>172</v>
      </c>
      <c r="D13" s="27">
        <f>IFERROR(AVERAGE('Score — Lysol'!E29,'Score — Lysol'!E32,'Score — Lysol'!E46),"")</f>
        <v>54</v>
      </c>
      <c r="E13" s="27">
        <f>IFERROR(AVERAGE('Score — Comp 1'!E29,'Score — Comp 1'!E32,'Score — Comp 1'!E46),"")</f>
        <v>68</v>
      </c>
      <c r="F13" s="27">
        <f>IFERROR(AVERAGE('Score — Comp 2'!E29,'Score — Comp 2'!E32,'Score — Comp 2'!E46),"")</f>
        <v>66</v>
      </c>
      <c r="G13" s="27">
        <f>IFERROR(AVERAGE('Score — Comp 3'!E29,'Score — Comp 3'!E32,'Score — Comp 3'!E46),"")</f>
        <v>70</v>
      </c>
      <c r="H13" s="27"/>
      <c r="I13" s="27"/>
      <c r="J13" s="27"/>
      <c r="K13" s="23">
        <v>1</v>
      </c>
    </row>
    <row r="14" spans="1:11">
      <c r="A14" s="25" t="s">
        <v>1041</v>
      </c>
      <c r="B14" s="26" t="s">
        <v>334</v>
      </c>
      <c r="C14" s="26" t="s">
        <v>172</v>
      </c>
      <c r="D14" s="27">
        <f>IFERROR(AVERAGE('Score — Lysol'!E31,'Score — Lysol'!E64),"")</f>
        <v>44</v>
      </c>
      <c r="E14" s="27">
        <f>IFERROR(AVERAGE('Score — Comp 1'!E31,'Score — Comp 1'!E64),"")</f>
        <v>51</v>
      </c>
      <c r="F14" s="27">
        <f>IFERROR(AVERAGE('Score — Comp 2'!E31,'Score — Comp 2'!E64),"")</f>
        <v>51</v>
      </c>
      <c r="G14" s="27">
        <f>IFERROR(AVERAGE('Score — Comp 3'!E31,'Score — Comp 3'!E64),"")</f>
        <v>52</v>
      </c>
      <c r="H14" s="27"/>
      <c r="I14" s="27"/>
      <c r="J14" s="27"/>
      <c r="K14" s="23">
        <v>2</v>
      </c>
    </row>
    <row r="15" spans="1:11">
      <c r="A15" s="25" t="s">
        <v>1042</v>
      </c>
      <c r="B15" s="26" t="s">
        <v>477</v>
      </c>
      <c r="C15" s="26" t="s">
        <v>172</v>
      </c>
      <c r="D15" s="27">
        <f>IFERROR(AVERAGE('Score — Lysol'!E65),"")</f>
        <v>20</v>
      </c>
      <c r="E15" s="27">
        <f>IFERROR(AVERAGE('Score — Comp 1'!E65),"")</f>
        <v>22</v>
      </c>
      <c r="F15" s="27">
        <f>IFERROR(AVERAGE('Score — Comp 2'!E65),"")</f>
        <v>22</v>
      </c>
      <c r="G15" s="27">
        <f>IFERROR(AVERAGE('Score — Comp 3'!E65),"")</f>
        <v>22</v>
      </c>
      <c r="H15" s="27"/>
      <c r="I15" s="27"/>
      <c r="J15" s="27"/>
      <c r="K15" s="23">
        <v>1</v>
      </c>
    </row>
    <row r="16" spans="1:11">
      <c r="A16" s="25" t="s">
        <v>1043</v>
      </c>
      <c r="B16" s="26" t="s">
        <v>278</v>
      </c>
      <c r="C16" s="26" t="s">
        <v>173</v>
      </c>
      <c r="D16" s="27">
        <f>IFERROR(AVERAGE('Score — Lysol'!E66,'Score — Lysol'!E63,'Score — Lysol'!E67,'Score — Lysol'!E62,'Score — Lysol'!E68,'Score — Lysol'!E20),"")</f>
        <v>27.666666666666668</v>
      </c>
      <c r="E16" s="27">
        <f>IFERROR(AVERAGE('Score — Comp 1'!E66,'Score — Comp 1'!E63,'Score — Comp 1'!E67,'Score — Comp 1'!E62,'Score — Comp 1'!E68,'Score — Comp 1'!E20),"")</f>
        <v>29.333333333333332</v>
      </c>
      <c r="F16" s="27">
        <f>IFERROR(AVERAGE('Score — Comp 2'!E66,'Score — Comp 2'!E63,'Score — Comp 2'!E67,'Score — Comp 2'!E62,'Score — Comp 2'!E68,'Score — Comp 2'!E20),"")</f>
        <v>29</v>
      </c>
      <c r="G16" s="27">
        <f>IFERROR(AVERAGE('Score — Comp 3'!E66,'Score — Comp 3'!E63,'Score — Comp 3'!E67,'Score — Comp 3'!E62,'Score — Comp 3'!E68,'Score — Comp 3'!E20),"")</f>
        <v>29.333333333333332</v>
      </c>
      <c r="H16" s="27"/>
      <c r="I16" s="27"/>
      <c r="J16" s="27"/>
      <c r="K16" s="23">
        <v>6</v>
      </c>
    </row>
    <row r="17" spans="1:11">
      <c r="A17" s="25" t="s">
        <v>1044</v>
      </c>
      <c r="B17" s="26" t="s">
        <v>241</v>
      </c>
      <c r="C17" s="26" t="s">
        <v>173</v>
      </c>
      <c r="D17" s="27">
        <f>IFERROR(AVERAGE('Score — Lysol'!E16,'Score — Lysol'!E13,'Score — Lysol'!E26),"")</f>
        <v>59.333333333333336</v>
      </c>
      <c r="E17" s="27">
        <f>IFERROR(AVERAGE('Score — Comp 1'!E16,'Score — Comp 1'!E13,'Score — Comp 1'!E26),"")</f>
        <v>72</v>
      </c>
      <c r="F17" s="27">
        <f>IFERROR(AVERAGE('Score — Comp 2'!E16,'Score — Comp 2'!E13,'Score — Comp 2'!E26),"")</f>
        <v>68</v>
      </c>
      <c r="G17" s="27">
        <f>IFERROR(AVERAGE('Score — Comp 3'!E16,'Score — Comp 3'!E13,'Score — Comp 3'!E26),"")</f>
        <v>60</v>
      </c>
      <c r="H17" s="27"/>
      <c r="I17" s="27"/>
      <c r="J17" s="27"/>
      <c r="K17" s="23">
        <v>3</v>
      </c>
    </row>
    <row r="18" spans="1:11">
      <c r="A18" s="25" t="s">
        <v>1045</v>
      </c>
      <c r="B18" s="26" t="s">
        <v>224</v>
      </c>
      <c r="C18" s="26" t="s">
        <v>173</v>
      </c>
      <c r="D18" s="27">
        <f>IFERROR(AVERAGE('Score — Lysol'!E10,'Score — Lysol'!E49),"")</f>
        <v>54</v>
      </c>
      <c r="E18" s="27">
        <f>IFERROR(AVERAGE('Score — Comp 1'!E10,'Score — Comp 1'!E49),"")</f>
        <v>68</v>
      </c>
      <c r="F18" s="27">
        <f>IFERROR(AVERAGE('Score — Comp 2'!E10,'Score — Comp 2'!E49),"")</f>
        <v>70</v>
      </c>
      <c r="G18" s="27">
        <f>IFERROR(AVERAGE('Score — Comp 3'!E10,'Score — Comp 3'!E49),"")</f>
        <v>57</v>
      </c>
      <c r="H18" s="27"/>
      <c r="I18" s="27"/>
      <c r="J18" s="27"/>
      <c r="K18" s="23">
        <v>2</v>
      </c>
    </row>
    <row r="19" spans="1:11">
      <c r="A19" s="25" t="s">
        <v>1046</v>
      </c>
      <c r="B19" s="26" t="s">
        <v>273</v>
      </c>
      <c r="C19" s="26" t="s">
        <v>173</v>
      </c>
      <c r="D19" s="27">
        <f>IFERROR(AVERAGE('Score — Lysol'!E19),"")</f>
        <v>62</v>
      </c>
      <c r="E19" s="27">
        <f>IFERROR(AVERAGE('Score — Comp 1'!E19),"")</f>
        <v>60</v>
      </c>
      <c r="F19" s="27">
        <f>IFERROR(AVERAGE('Score — Comp 2'!E19),"")</f>
        <v>42</v>
      </c>
      <c r="G19" s="27">
        <f>IFERROR(AVERAGE('Score — Comp 3'!E19),"")</f>
        <v>64</v>
      </c>
      <c r="H19" s="27"/>
      <c r="I19" s="27"/>
      <c r="J19" s="27"/>
      <c r="K19" s="23">
        <v>1</v>
      </c>
    </row>
    <row r="20" spans="1:11">
      <c r="A20" s="25" t="s">
        <v>1047</v>
      </c>
      <c r="B20" s="26" t="s">
        <v>449</v>
      </c>
      <c r="C20" s="26" t="s">
        <v>173</v>
      </c>
      <c r="D20" s="27">
        <f>IFERROR(AVERAGE('Score — Lysol'!E58,'Score — Lysol'!E59),"")</f>
        <v>46</v>
      </c>
      <c r="E20" s="27">
        <f>IFERROR(AVERAGE('Score — Comp 1'!E58,'Score — Comp 1'!E59),"")</f>
        <v>60</v>
      </c>
      <c r="F20" s="27">
        <f>IFERROR(AVERAGE('Score — Comp 2'!E58,'Score — Comp 2'!E59),"")</f>
        <v>62</v>
      </c>
      <c r="G20" s="27">
        <f>IFERROR(AVERAGE('Score — Comp 3'!E58,'Score — Comp 3'!E59),"")</f>
        <v>58</v>
      </c>
      <c r="H20" s="27"/>
      <c r="I20" s="27"/>
      <c r="J20" s="27"/>
      <c r="K20" s="23">
        <v>2</v>
      </c>
    </row>
    <row r="24" spans="1:11" ht="15.95" customHeight="1">
      <c r="A24" s="83" t="s">
        <v>1048</v>
      </c>
      <c r="B24" s="81"/>
      <c r="C24" s="81"/>
      <c r="D24" s="81"/>
      <c r="E24" s="81"/>
      <c r="F24" s="81"/>
      <c r="G24" s="81"/>
      <c r="H24" s="81"/>
      <c r="I24" s="81"/>
      <c r="J24" s="81"/>
      <c r="K24" s="81"/>
    </row>
    <row r="25" spans="1:11">
      <c r="A25" s="14" t="s">
        <v>1049</v>
      </c>
      <c r="B25" s="14" t="s">
        <v>1050</v>
      </c>
      <c r="C25" s="14" t="s">
        <v>1051</v>
      </c>
      <c r="D25" s="14" t="s">
        <v>1052</v>
      </c>
      <c r="E25" s="14" t="s">
        <v>1053</v>
      </c>
      <c r="F25" s="14" t="s">
        <v>1054</v>
      </c>
      <c r="G25" s="14" t="s">
        <v>1055</v>
      </c>
    </row>
    <row r="26" spans="1:11">
      <c r="A26" s="28">
        <f>'Snapshot Setup'!$B$4</f>
        <v>46174</v>
      </c>
      <c r="B26" s="26" t="str">
        <f>IF('Snapshot Setup'!B6="","",'Snapshot Setup'!B6)</f>
        <v>Lysol</v>
      </c>
      <c r="C26" s="26" t="b">
        <v>1</v>
      </c>
      <c r="D26" s="26" t="s">
        <v>170</v>
      </c>
      <c r="E26" s="26" t="s">
        <v>1031</v>
      </c>
      <c r="F26" s="26" t="s">
        <v>364</v>
      </c>
      <c r="G26" s="15">
        <f t="shared" ref="G26:G42" si="0">D4</f>
        <v>51.666666666666664</v>
      </c>
    </row>
    <row r="27" spans="1:11">
      <c r="A27" s="28">
        <f>'Snapshot Setup'!$B$4</f>
        <v>46174</v>
      </c>
      <c r="B27" s="26" t="str">
        <f>IF('Snapshot Setup'!B6="","",'Snapshot Setup'!B6)</f>
        <v>Lysol</v>
      </c>
      <c r="C27" s="26" t="b">
        <v>1</v>
      </c>
      <c r="D27" s="26" t="s">
        <v>170</v>
      </c>
      <c r="E27" s="26" t="s">
        <v>1032</v>
      </c>
      <c r="F27" s="26" t="s">
        <v>284</v>
      </c>
      <c r="G27" s="15">
        <f t="shared" si="0"/>
        <v>55.5</v>
      </c>
    </row>
    <row r="28" spans="1:11">
      <c r="A28" s="28">
        <f>'Snapshot Setup'!$B$4</f>
        <v>46174</v>
      </c>
      <c r="B28" s="26" t="str">
        <f>IF('Snapshot Setup'!B6="","",'Snapshot Setup'!B6)</f>
        <v>Lysol</v>
      </c>
      <c r="C28" s="26" t="b">
        <v>1</v>
      </c>
      <c r="D28" s="26" t="s">
        <v>170</v>
      </c>
      <c r="E28" s="26" t="s">
        <v>1033</v>
      </c>
      <c r="F28" s="26" t="s">
        <v>353</v>
      </c>
      <c r="G28" s="15">
        <f t="shared" si="0"/>
        <v>62</v>
      </c>
    </row>
    <row r="29" spans="1:11">
      <c r="A29" s="28">
        <f>'Snapshot Setup'!$B$4</f>
        <v>46174</v>
      </c>
      <c r="B29" s="26" t="str">
        <f>IF('Snapshot Setup'!B6="","",'Snapshot Setup'!B6)</f>
        <v>Lysol</v>
      </c>
      <c r="C29" s="26" t="b">
        <v>1</v>
      </c>
      <c r="D29" s="26" t="s">
        <v>170</v>
      </c>
      <c r="E29" s="26" t="s">
        <v>1034</v>
      </c>
      <c r="F29" s="26" t="s">
        <v>389</v>
      </c>
      <c r="G29" s="15">
        <f t="shared" si="0"/>
        <v>50</v>
      </c>
    </row>
    <row r="30" spans="1:11">
      <c r="A30" s="28">
        <f>'Snapshot Setup'!$B$4</f>
        <v>46174</v>
      </c>
      <c r="B30" s="26" t="str">
        <f>IF('Snapshot Setup'!B6="","",'Snapshot Setup'!B6)</f>
        <v>Lysol</v>
      </c>
      <c r="C30" s="26" t="b">
        <v>1</v>
      </c>
      <c r="D30" s="26" t="s">
        <v>170</v>
      </c>
      <c r="E30" s="26" t="s">
        <v>1035</v>
      </c>
      <c r="F30" s="26" t="s">
        <v>313</v>
      </c>
      <c r="G30" s="15">
        <f t="shared" si="0"/>
        <v>50</v>
      </c>
    </row>
    <row r="31" spans="1:11">
      <c r="A31" s="28">
        <f>'Snapshot Setup'!$B$4</f>
        <v>46174</v>
      </c>
      <c r="B31" s="26" t="str">
        <f>IF('Snapshot Setup'!B6="","",'Snapshot Setup'!B6)</f>
        <v>Lysol</v>
      </c>
      <c r="C31" s="26" t="b">
        <v>1</v>
      </c>
      <c r="D31" s="26" t="s">
        <v>171</v>
      </c>
      <c r="E31" s="26" t="s">
        <v>1036</v>
      </c>
      <c r="F31" s="26" t="s">
        <v>194</v>
      </c>
      <c r="G31" s="15">
        <f t="shared" si="0"/>
        <v>55.4</v>
      </c>
    </row>
    <row r="32" spans="1:11">
      <c r="A32" s="28">
        <f>'Snapshot Setup'!$B$4</f>
        <v>46174</v>
      </c>
      <c r="B32" s="26" t="str">
        <f>IF('Snapshot Setup'!B6="","",'Snapshot Setup'!B6)</f>
        <v>Lysol</v>
      </c>
      <c r="C32" s="26" t="b">
        <v>1</v>
      </c>
      <c r="D32" s="26" t="s">
        <v>171</v>
      </c>
      <c r="E32" s="26" t="s">
        <v>1037</v>
      </c>
      <c r="F32" s="26" t="s">
        <v>330</v>
      </c>
      <c r="G32" s="15">
        <f t="shared" si="0"/>
        <v>58</v>
      </c>
    </row>
    <row r="33" spans="1:7">
      <c r="A33" s="28">
        <f>'Snapshot Setup'!$B$4</f>
        <v>46174</v>
      </c>
      <c r="B33" s="26" t="str">
        <f>IF('Snapshot Setup'!B6="","",'Snapshot Setup'!B6)</f>
        <v>Lysol</v>
      </c>
      <c r="C33" s="26" t="b">
        <v>1</v>
      </c>
      <c r="D33" s="26" t="s">
        <v>171</v>
      </c>
      <c r="E33" s="26" t="s">
        <v>1038</v>
      </c>
      <c r="F33" s="26" t="s">
        <v>231</v>
      </c>
      <c r="G33" s="15">
        <f t="shared" si="0"/>
        <v>60</v>
      </c>
    </row>
    <row r="34" spans="1:7">
      <c r="A34" s="28">
        <f>'Snapshot Setup'!$B$4</f>
        <v>46174</v>
      </c>
      <c r="B34" s="26" t="str">
        <f>IF('Snapshot Setup'!B6="","",'Snapshot Setup'!B6)</f>
        <v>Lysol</v>
      </c>
      <c r="C34" s="26" t="b">
        <v>1</v>
      </c>
      <c r="D34" s="26" t="s">
        <v>171</v>
      </c>
      <c r="E34" s="26" t="s">
        <v>1039</v>
      </c>
      <c r="F34" s="26" t="s">
        <v>251</v>
      </c>
      <c r="G34" s="15">
        <f t="shared" si="0"/>
        <v>53</v>
      </c>
    </row>
    <row r="35" spans="1:7">
      <c r="A35" s="28">
        <f>'Snapshot Setup'!$B$4</f>
        <v>46174</v>
      </c>
      <c r="B35" s="26" t="str">
        <f>IF('Snapshot Setup'!B6="","",'Snapshot Setup'!B6)</f>
        <v>Lysol</v>
      </c>
      <c r="C35" s="26" t="b">
        <v>1</v>
      </c>
      <c r="D35" s="26" t="s">
        <v>172</v>
      </c>
      <c r="E35" s="26" t="s">
        <v>1040</v>
      </c>
      <c r="F35" s="26" t="s">
        <v>325</v>
      </c>
      <c r="G35" s="15">
        <f t="shared" si="0"/>
        <v>54</v>
      </c>
    </row>
    <row r="36" spans="1:7">
      <c r="A36" s="28">
        <f>'Snapshot Setup'!$B$4</f>
        <v>46174</v>
      </c>
      <c r="B36" s="26" t="str">
        <f>IF('Snapshot Setup'!B6="","",'Snapshot Setup'!B6)</f>
        <v>Lysol</v>
      </c>
      <c r="C36" s="26" t="b">
        <v>1</v>
      </c>
      <c r="D36" s="26" t="s">
        <v>172</v>
      </c>
      <c r="E36" s="26" t="s">
        <v>1041</v>
      </c>
      <c r="F36" s="26" t="s">
        <v>334</v>
      </c>
      <c r="G36" s="15">
        <f t="shared" si="0"/>
        <v>44</v>
      </c>
    </row>
    <row r="37" spans="1:7">
      <c r="A37" s="28">
        <f>'Snapshot Setup'!$B$4</f>
        <v>46174</v>
      </c>
      <c r="B37" s="26" t="str">
        <f>IF('Snapshot Setup'!B6="","",'Snapshot Setup'!B6)</f>
        <v>Lysol</v>
      </c>
      <c r="C37" s="26" t="b">
        <v>1</v>
      </c>
      <c r="D37" s="26" t="s">
        <v>172</v>
      </c>
      <c r="E37" s="26" t="s">
        <v>1042</v>
      </c>
      <c r="F37" s="26" t="s">
        <v>477</v>
      </c>
      <c r="G37" s="15">
        <f t="shared" si="0"/>
        <v>20</v>
      </c>
    </row>
    <row r="38" spans="1:7">
      <c r="A38" s="28">
        <f>'Snapshot Setup'!$B$4</f>
        <v>46174</v>
      </c>
      <c r="B38" s="26" t="str">
        <f>IF('Snapshot Setup'!B6="","",'Snapshot Setup'!B6)</f>
        <v>Lysol</v>
      </c>
      <c r="C38" s="26" t="b">
        <v>1</v>
      </c>
      <c r="D38" s="26" t="s">
        <v>173</v>
      </c>
      <c r="E38" s="26" t="s">
        <v>1043</v>
      </c>
      <c r="F38" s="26" t="s">
        <v>278</v>
      </c>
      <c r="G38" s="15">
        <f t="shared" si="0"/>
        <v>27.666666666666668</v>
      </c>
    </row>
    <row r="39" spans="1:7">
      <c r="A39" s="28">
        <f>'Snapshot Setup'!$B$4</f>
        <v>46174</v>
      </c>
      <c r="B39" s="26" t="str">
        <f>IF('Snapshot Setup'!B6="","",'Snapshot Setup'!B6)</f>
        <v>Lysol</v>
      </c>
      <c r="C39" s="26" t="b">
        <v>1</v>
      </c>
      <c r="D39" s="26" t="s">
        <v>173</v>
      </c>
      <c r="E39" s="26" t="s">
        <v>1044</v>
      </c>
      <c r="F39" s="26" t="s">
        <v>241</v>
      </c>
      <c r="G39" s="15">
        <f t="shared" si="0"/>
        <v>59.333333333333336</v>
      </c>
    </row>
    <row r="40" spans="1:7">
      <c r="A40" s="28">
        <f>'Snapshot Setup'!$B$4</f>
        <v>46174</v>
      </c>
      <c r="B40" s="26" t="str">
        <f>IF('Snapshot Setup'!B6="","",'Snapshot Setup'!B6)</f>
        <v>Lysol</v>
      </c>
      <c r="C40" s="26" t="b">
        <v>1</v>
      </c>
      <c r="D40" s="26" t="s">
        <v>173</v>
      </c>
      <c r="E40" s="26" t="s">
        <v>1045</v>
      </c>
      <c r="F40" s="26" t="s">
        <v>224</v>
      </c>
      <c r="G40" s="15">
        <f t="shared" si="0"/>
        <v>54</v>
      </c>
    </row>
    <row r="41" spans="1:7">
      <c r="A41" s="28">
        <f>'Snapshot Setup'!$B$4</f>
        <v>46174</v>
      </c>
      <c r="B41" s="26" t="str">
        <f>IF('Snapshot Setup'!B6="","",'Snapshot Setup'!B6)</f>
        <v>Lysol</v>
      </c>
      <c r="C41" s="26" t="b">
        <v>1</v>
      </c>
      <c r="D41" s="26" t="s">
        <v>173</v>
      </c>
      <c r="E41" s="26" t="s">
        <v>1046</v>
      </c>
      <c r="F41" s="26" t="s">
        <v>273</v>
      </c>
      <c r="G41" s="15">
        <f t="shared" si="0"/>
        <v>62</v>
      </c>
    </row>
    <row r="42" spans="1:7">
      <c r="A42" s="28">
        <f>'Snapshot Setup'!$B$4</f>
        <v>46174</v>
      </c>
      <c r="B42" s="26" t="str">
        <f>IF('Snapshot Setup'!B6="","",'Snapshot Setup'!B6)</f>
        <v>Lysol</v>
      </c>
      <c r="C42" s="26" t="b">
        <v>1</v>
      </c>
      <c r="D42" s="26" t="s">
        <v>173</v>
      </c>
      <c r="E42" s="26" t="s">
        <v>1047</v>
      </c>
      <c r="F42" s="26" t="s">
        <v>449</v>
      </c>
      <c r="G42" s="15">
        <f t="shared" si="0"/>
        <v>46</v>
      </c>
    </row>
    <row r="43" spans="1:7">
      <c r="A43" s="28">
        <f>'Snapshot Setup'!$B$4</f>
        <v>46174</v>
      </c>
      <c r="B43" s="26" t="str">
        <f>IF('Snapshot Setup'!B7="","",'Snapshot Setup'!B7)</f>
        <v>Clorox Portfolio (Clorox, Pine-Sol, Purell)</v>
      </c>
      <c r="C43" s="26" t="b">
        <v>0</v>
      </c>
      <c r="D43" s="26" t="s">
        <v>170</v>
      </c>
      <c r="E43" s="26" t="s">
        <v>1031</v>
      </c>
      <c r="F43" s="26" t="s">
        <v>364</v>
      </c>
      <c r="G43" s="15">
        <f t="shared" ref="G43:G59" si="1">E4</f>
        <v>74</v>
      </c>
    </row>
    <row r="44" spans="1:7">
      <c r="A44" s="28">
        <f>'Snapshot Setup'!$B$4</f>
        <v>46174</v>
      </c>
      <c r="B44" s="26" t="str">
        <f>IF('Snapshot Setup'!B7="","",'Snapshot Setup'!B7)</f>
        <v>Clorox Portfolio (Clorox, Pine-Sol, Purell)</v>
      </c>
      <c r="C44" s="26" t="b">
        <v>0</v>
      </c>
      <c r="D44" s="26" t="s">
        <v>170</v>
      </c>
      <c r="E44" s="26" t="s">
        <v>1032</v>
      </c>
      <c r="F44" s="26" t="s">
        <v>284</v>
      </c>
      <c r="G44" s="15">
        <f t="shared" si="1"/>
        <v>72</v>
      </c>
    </row>
    <row r="45" spans="1:7">
      <c r="A45" s="28">
        <f>'Snapshot Setup'!$B$4</f>
        <v>46174</v>
      </c>
      <c r="B45" s="26" t="str">
        <f>IF('Snapshot Setup'!B7="","",'Snapshot Setup'!B7)</f>
        <v>Clorox Portfolio (Clorox, Pine-Sol, Purell)</v>
      </c>
      <c r="C45" s="26" t="b">
        <v>0</v>
      </c>
      <c r="D45" s="26" t="s">
        <v>170</v>
      </c>
      <c r="E45" s="26" t="s">
        <v>1033</v>
      </c>
      <c r="F45" s="26" t="s">
        <v>353</v>
      </c>
      <c r="G45" s="15">
        <f t="shared" si="1"/>
        <v>75</v>
      </c>
    </row>
    <row r="46" spans="1:7">
      <c r="A46" s="28">
        <f>'Snapshot Setup'!$B$4</f>
        <v>46174</v>
      </c>
      <c r="B46" s="26" t="str">
        <f>IF('Snapshot Setup'!B7="","",'Snapshot Setup'!B7)</f>
        <v>Clorox Portfolio (Clorox, Pine-Sol, Purell)</v>
      </c>
      <c r="C46" s="26" t="b">
        <v>0</v>
      </c>
      <c r="D46" s="26" t="s">
        <v>170</v>
      </c>
      <c r="E46" s="26" t="s">
        <v>1034</v>
      </c>
      <c r="F46" s="26" t="s">
        <v>389</v>
      </c>
      <c r="G46" s="15">
        <f t="shared" si="1"/>
        <v>63</v>
      </c>
    </row>
    <row r="47" spans="1:7">
      <c r="A47" s="28">
        <f>'Snapshot Setup'!$B$4</f>
        <v>46174</v>
      </c>
      <c r="B47" s="26" t="str">
        <f>IF('Snapshot Setup'!B7="","",'Snapshot Setup'!B7)</f>
        <v>Clorox Portfolio (Clorox, Pine-Sol, Purell)</v>
      </c>
      <c r="C47" s="26" t="b">
        <v>0</v>
      </c>
      <c r="D47" s="26" t="s">
        <v>170</v>
      </c>
      <c r="E47" s="26" t="s">
        <v>1035</v>
      </c>
      <c r="F47" s="26" t="s">
        <v>313</v>
      </c>
      <c r="G47" s="15">
        <f t="shared" si="1"/>
        <v>61.6</v>
      </c>
    </row>
    <row r="48" spans="1:7">
      <c r="A48" s="28">
        <f>'Snapshot Setup'!$B$4</f>
        <v>46174</v>
      </c>
      <c r="B48" s="26" t="str">
        <f>IF('Snapshot Setup'!B7="","",'Snapshot Setup'!B7)</f>
        <v>Clorox Portfolio (Clorox, Pine-Sol, Purell)</v>
      </c>
      <c r="C48" s="26" t="b">
        <v>0</v>
      </c>
      <c r="D48" s="26" t="s">
        <v>171</v>
      </c>
      <c r="E48" s="26" t="s">
        <v>1036</v>
      </c>
      <c r="F48" s="26" t="s">
        <v>194</v>
      </c>
      <c r="G48" s="15">
        <f t="shared" si="1"/>
        <v>69.8</v>
      </c>
    </row>
    <row r="49" spans="1:7">
      <c r="A49" s="28">
        <f>'Snapshot Setup'!$B$4</f>
        <v>46174</v>
      </c>
      <c r="B49" s="26" t="str">
        <f>IF('Snapshot Setup'!B7="","",'Snapshot Setup'!B7)</f>
        <v>Clorox Portfolio (Clorox, Pine-Sol, Purell)</v>
      </c>
      <c r="C49" s="26" t="b">
        <v>0</v>
      </c>
      <c r="D49" s="26" t="s">
        <v>171</v>
      </c>
      <c r="E49" s="26" t="s">
        <v>1037</v>
      </c>
      <c r="F49" s="26" t="s">
        <v>330</v>
      </c>
      <c r="G49" s="15">
        <f t="shared" si="1"/>
        <v>72</v>
      </c>
    </row>
    <row r="50" spans="1:7">
      <c r="A50" s="28">
        <f>'Snapshot Setup'!$B$4</f>
        <v>46174</v>
      </c>
      <c r="B50" s="26" t="str">
        <f>IF('Snapshot Setup'!B7="","",'Snapshot Setup'!B7)</f>
        <v>Clorox Portfolio (Clorox, Pine-Sol, Purell)</v>
      </c>
      <c r="C50" s="26" t="b">
        <v>0</v>
      </c>
      <c r="D50" s="26" t="s">
        <v>171</v>
      </c>
      <c r="E50" s="26" t="s">
        <v>1038</v>
      </c>
      <c r="F50" s="26" t="s">
        <v>231</v>
      </c>
      <c r="G50" s="15">
        <f t="shared" si="1"/>
        <v>70</v>
      </c>
    </row>
    <row r="51" spans="1:7">
      <c r="A51" s="28">
        <f>'Snapshot Setup'!$B$4</f>
        <v>46174</v>
      </c>
      <c r="B51" s="26" t="str">
        <f>IF('Snapshot Setup'!B7="","",'Snapshot Setup'!B7)</f>
        <v>Clorox Portfolio (Clorox, Pine-Sol, Purell)</v>
      </c>
      <c r="C51" s="26" t="b">
        <v>0</v>
      </c>
      <c r="D51" s="26" t="s">
        <v>171</v>
      </c>
      <c r="E51" s="26" t="s">
        <v>1039</v>
      </c>
      <c r="F51" s="26" t="s">
        <v>251</v>
      </c>
      <c r="G51" s="15">
        <f t="shared" si="1"/>
        <v>69</v>
      </c>
    </row>
    <row r="52" spans="1:7">
      <c r="A52" s="28">
        <f>'Snapshot Setup'!$B$4</f>
        <v>46174</v>
      </c>
      <c r="B52" s="26" t="str">
        <f>IF('Snapshot Setup'!B7="","",'Snapshot Setup'!B7)</f>
        <v>Clorox Portfolio (Clorox, Pine-Sol, Purell)</v>
      </c>
      <c r="C52" s="26" t="b">
        <v>0</v>
      </c>
      <c r="D52" s="26" t="s">
        <v>172</v>
      </c>
      <c r="E52" s="26" t="s">
        <v>1040</v>
      </c>
      <c r="F52" s="26" t="s">
        <v>325</v>
      </c>
      <c r="G52" s="15">
        <f t="shared" si="1"/>
        <v>68</v>
      </c>
    </row>
    <row r="53" spans="1:7">
      <c r="A53" s="28">
        <f>'Snapshot Setup'!$B$4</f>
        <v>46174</v>
      </c>
      <c r="B53" s="26" t="str">
        <f>IF('Snapshot Setup'!B7="","",'Snapshot Setup'!B7)</f>
        <v>Clorox Portfolio (Clorox, Pine-Sol, Purell)</v>
      </c>
      <c r="C53" s="26" t="b">
        <v>0</v>
      </c>
      <c r="D53" s="26" t="s">
        <v>172</v>
      </c>
      <c r="E53" s="26" t="s">
        <v>1041</v>
      </c>
      <c r="F53" s="26" t="s">
        <v>334</v>
      </c>
      <c r="G53" s="15">
        <f t="shared" si="1"/>
        <v>51</v>
      </c>
    </row>
    <row r="54" spans="1:7">
      <c r="A54" s="28">
        <f>'Snapshot Setup'!$B$4</f>
        <v>46174</v>
      </c>
      <c r="B54" s="26" t="str">
        <f>IF('Snapshot Setup'!B7="","",'Snapshot Setup'!B7)</f>
        <v>Clorox Portfolio (Clorox, Pine-Sol, Purell)</v>
      </c>
      <c r="C54" s="26" t="b">
        <v>0</v>
      </c>
      <c r="D54" s="26" t="s">
        <v>172</v>
      </c>
      <c r="E54" s="26" t="s">
        <v>1042</v>
      </c>
      <c r="F54" s="26" t="s">
        <v>477</v>
      </c>
      <c r="G54" s="15">
        <f t="shared" si="1"/>
        <v>22</v>
      </c>
    </row>
    <row r="55" spans="1:7">
      <c r="A55" s="28">
        <f>'Snapshot Setup'!$B$4</f>
        <v>46174</v>
      </c>
      <c r="B55" s="26" t="str">
        <f>IF('Snapshot Setup'!B7="","",'Snapshot Setup'!B7)</f>
        <v>Clorox Portfolio (Clorox, Pine-Sol, Purell)</v>
      </c>
      <c r="C55" s="26" t="b">
        <v>0</v>
      </c>
      <c r="D55" s="26" t="s">
        <v>173</v>
      </c>
      <c r="E55" s="26" t="s">
        <v>1043</v>
      </c>
      <c r="F55" s="26" t="s">
        <v>278</v>
      </c>
      <c r="G55" s="15">
        <f t="shared" si="1"/>
        <v>29.333333333333332</v>
      </c>
    </row>
    <row r="56" spans="1:7">
      <c r="A56" s="28">
        <f>'Snapshot Setup'!$B$4</f>
        <v>46174</v>
      </c>
      <c r="B56" s="26" t="str">
        <f>IF('Snapshot Setup'!B7="","",'Snapshot Setup'!B7)</f>
        <v>Clorox Portfolio (Clorox, Pine-Sol, Purell)</v>
      </c>
      <c r="C56" s="26" t="b">
        <v>0</v>
      </c>
      <c r="D56" s="26" t="s">
        <v>173</v>
      </c>
      <c r="E56" s="26" t="s">
        <v>1044</v>
      </c>
      <c r="F56" s="26" t="s">
        <v>241</v>
      </c>
      <c r="G56" s="15">
        <f t="shared" si="1"/>
        <v>72</v>
      </c>
    </row>
    <row r="57" spans="1:7">
      <c r="A57" s="28">
        <f>'Snapshot Setup'!$B$4</f>
        <v>46174</v>
      </c>
      <c r="B57" s="26" t="str">
        <f>IF('Snapshot Setup'!B7="","",'Snapshot Setup'!B7)</f>
        <v>Clorox Portfolio (Clorox, Pine-Sol, Purell)</v>
      </c>
      <c r="C57" s="26" t="b">
        <v>0</v>
      </c>
      <c r="D57" s="26" t="s">
        <v>173</v>
      </c>
      <c r="E57" s="26" t="s">
        <v>1045</v>
      </c>
      <c r="F57" s="26" t="s">
        <v>224</v>
      </c>
      <c r="G57" s="15">
        <f t="shared" si="1"/>
        <v>68</v>
      </c>
    </row>
    <row r="58" spans="1:7">
      <c r="A58" s="28">
        <f>'Snapshot Setup'!$B$4</f>
        <v>46174</v>
      </c>
      <c r="B58" s="26" t="str">
        <f>IF('Snapshot Setup'!B7="","",'Snapshot Setup'!B7)</f>
        <v>Clorox Portfolio (Clorox, Pine-Sol, Purell)</v>
      </c>
      <c r="C58" s="26" t="b">
        <v>0</v>
      </c>
      <c r="D58" s="26" t="s">
        <v>173</v>
      </c>
      <c r="E58" s="26" t="s">
        <v>1046</v>
      </c>
      <c r="F58" s="26" t="s">
        <v>273</v>
      </c>
      <c r="G58" s="15">
        <f t="shared" si="1"/>
        <v>60</v>
      </c>
    </row>
    <row r="59" spans="1:7">
      <c r="A59" s="28">
        <f>'Snapshot Setup'!$B$4</f>
        <v>46174</v>
      </c>
      <c r="B59" s="26" t="str">
        <f>IF('Snapshot Setup'!B7="","",'Snapshot Setup'!B7)</f>
        <v>Clorox Portfolio (Clorox, Pine-Sol, Purell)</v>
      </c>
      <c r="C59" s="26" t="b">
        <v>0</v>
      </c>
      <c r="D59" s="26" t="s">
        <v>173</v>
      </c>
      <c r="E59" s="26" t="s">
        <v>1047</v>
      </c>
      <c r="F59" s="26" t="s">
        <v>449</v>
      </c>
      <c r="G59" s="15">
        <f t="shared" si="1"/>
        <v>60</v>
      </c>
    </row>
    <row r="60" spans="1:7">
      <c r="A60" s="28">
        <f>'Snapshot Setup'!$B$4</f>
        <v>46174</v>
      </c>
      <c r="B60" s="26" t="str">
        <f>IF('Snapshot Setup'!B8="","",'Snapshot Setup'!B8)</f>
        <v>P&amp;G Home Care (Mr. Clean, Microban 24)</v>
      </c>
      <c r="C60" s="26" t="b">
        <v>0</v>
      </c>
      <c r="D60" s="26" t="s">
        <v>170</v>
      </c>
      <c r="E60" s="26" t="s">
        <v>1031</v>
      </c>
      <c r="F60" s="26" t="s">
        <v>364</v>
      </c>
      <c r="G60" s="15">
        <f t="shared" ref="G60:G76" si="2">F4</f>
        <v>56.666666666666664</v>
      </c>
    </row>
    <row r="61" spans="1:7">
      <c r="A61" s="28">
        <f>'Snapshot Setup'!$B$4</f>
        <v>46174</v>
      </c>
      <c r="B61" s="26" t="str">
        <f>IF('Snapshot Setup'!B8="","",'Snapshot Setup'!B8)</f>
        <v>P&amp;G Home Care (Mr. Clean, Microban 24)</v>
      </c>
      <c r="C61" s="26" t="b">
        <v>0</v>
      </c>
      <c r="D61" s="26" t="s">
        <v>170</v>
      </c>
      <c r="E61" s="26" t="s">
        <v>1032</v>
      </c>
      <c r="F61" s="26" t="s">
        <v>284</v>
      </c>
      <c r="G61" s="15">
        <f t="shared" si="2"/>
        <v>64</v>
      </c>
    </row>
    <row r="62" spans="1:7">
      <c r="A62" s="28">
        <f>'Snapshot Setup'!$B$4</f>
        <v>46174</v>
      </c>
      <c r="B62" s="26" t="str">
        <f>IF('Snapshot Setup'!B8="","",'Snapshot Setup'!B8)</f>
        <v>P&amp;G Home Care (Mr. Clean, Microban 24)</v>
      </c>
      <c r="C62" s="26" t="b">
        <v>0</v>
      </c>
      <c r="D62" s="26" t="s">
        <v>170</v>
      </c>
      <c r="E62" s="26" t="s">
        <v>1033</v>
      </c>
      <c r="F62" s="26" t="s">
        <v>353</v>
      </c>
      <c r="G62" s="15">
        <f t="shared" si="2"/>
        <v>56</v>
      </c>
    </row>
    <row r="63" spans="1:7">
      <c r="A63" s="28">
        <f>'Snapshot Setup'!$B$4</f>
        <v>46174</v>
      </c>
      <c r="B63" s="26" t="str">
        <f>IF('Snapshot Setup'!B8="","",'Snapshot Setup'!B8)</f>
        <v>P&amp;G Home Care (Mr. Clean, Microban 24)</v>
      </c>
      <c r="C63" s="26" t="b">
        <v>0</v>
      </c>
      <c r="D63" s="26" t="s">
        <v>170</v>
      </c>
      <c r="E63" s="26" t="s">
        <v>1034</v>
      </c>
      <c r="F63" s="26" t="s">
        <v>389</v>
      </c>
      <c r="G63" s="15">
        <f t="shared" si="2"/>
        <v>62</v>
      </c>
    </row>
    <row r="64" spans="1:7">
      <c r="A64" s="28">
        <f>'Snapshot Setup'!$B$4</f>
        <v>46174</v>
      </c>
      <c r="B64" s="26" t="str">
        <f>IF('Snapshot Setup'!B8="","",'Snapshot Setup'!B8)</f>
        <v>P&amp;G Home Care (Mr. Clean, Microban 24)</v>
      </c>
      <c r="C64" s="26" t="b">
        <v>0</v>
      </c>
      <c r="D64" s="26" t="s">
        <v>170</v>
      </c>
      <c r="E64" s="26" t="s">
        <v>1035</v>
      </c>
      <c r="F64" s="26" t="s">
        <v>313</v>
      </c>
      <c r="G64" s="15">
        <f t="shared" si="2"/>
        <v>61.6</v>
      </c>
    </row>
    <row r="65" spans="1:7">
      <c r="A65" s="28">
        <f>'Snapshot Setup'!$B$4</f>
        <v>46174</v>
      </c>
      <c r="B65" s="26" t="str">
        <f>IF('Snapshot Setup'!B8="","",'Snapshot Setup'!B8)</f>
        <v>P&amp;G Home Care (Mr. Clean, Microban 24)</v>
      </c>
      <c r="C65" s="26" t="b">
        <v>0</v>
      </c>
      <c r="D65" s="26" t="s">
        <v>171</v>
      </c>
      <c r="E65" s="26" t="s">
        <v>1036</v>
      </c>
      <c r="F65" s="26" t="s">
        <v>194</v>
      </c>
      <c r="G65" s="15">
        <f t="shared" si="2"/>
        <v>65</v>
      </c>
    </row>
    <row r="66" spans="1:7">
      <c r="A66" s="28">
        <f>'Snapshot Setup'!$B$4</f>
        <v>46174</v>
      </c>
      <c r="B66" s="26" t="str">
        <f>IF('Snapshot Setup'!B8="","",'Snapshot Setup'!B8)</f>
        <v>P&amp;G Home Care (Mr. Clean, Microban 24)</v>
      </c>
      <c r="C66" s="26" t="b">
        <v>0</v>
      </c>
      <c r="D66" s="26" t="s">
        <v>171</v>
      </c>
      <c r="E66" s="26" t="s">
        <v>1037</v>
      </c>
      <c r="F66" s="26" t="s">
        <v>330</v>
      </c>
      <c r="G66" s="15">
        <f t="shared" si="2"/>
        <v>73</v>
      </c>
    </row>
    <row r="67" spans="1:7">
      <c r="A67" s="28">
        <f>'Snapshot Setup'!$B$4</f>
        <v>46174</v>
      </c>
      <c r="B67" s="26" t="str">
        <f>IF('Snapshot Setup'!B8="","",'Snapshot Setup'!B8)</f>
        <v>P&amp;G Home Care (Mr. Clean, Microban 24)</v>
      </c>
      <c r="C67" s="26" t="b">
        <v>0</v>
      </c>
      <c r="D67" s="26" t="s">
        <v>171</v>
      </c>
      <c r="E67" s="26" t="s">
        <v>1038</v>
      </c>
      <c r="F67" s="26" t="s">
        <v>231</v>
      </c>
      <c r="G67" s="15">
        <f t="shared" si="2"/>
        <v>53.333333333333336</v>
      </c>
    </row>
    <row r="68" spans="1:7">
      <c r="A68" s="28">
        <f>'Snapshot Setup'!$B$4</f>
        <v>46174</v>
      </c>
      <c r="B68" s="26" t="str">
        <f>IF('Snapshot Setup'!B8="","",'Snapshot Setup'!B8)</f>
        <v>P&amp;G Home Care (Mr. Clean, Microban 24)</v>
      </c>
      <c r="C68" s="26" t="b">
        <v>0</v>
      </c>
      <c r="D68" s="26" t="s">
        <v>171</v>
      </c>
      <c r="E68" s="26" t="s">
        <v>1039</v>
      </c>
      <c r="F68" s="26" t="s">
        <v>251</v>
      </c>
      <c r="G68" s="15">
        <f t="shared" si="2"/>
        <v>64</v>
      </c>
    </row>
    <row r="69" spans="1:7">
      <c r="A69" s="28">
        <f>'Snapshot Setup'!$B$4</f>
        <v>46174</v>
      </c>
      <c r="B69" s="26" t="str">
        <f>IF('Snapshot Setup'!B8="","",'Snapshot Setup'!B8)</f>
        <v>P&amp;G Home Care (Mr. Clean, Microban 24)</v>
      </c>
      <c r="C69" s="26" t="b">
        <v>0</v>
      </c>
      <c r="D69" s="26" t="s">
        <v>172</v>
      </c>
      <c r="E69" s="26" t="s">
        <v>1040</v>
      </c>
      <c r="F69" s="26" t="s">
        <v>325</v>
      </c>
      <c r="G69" s="15">
        <f t="shared" si="2"/>
        <v>66</v>
      </c>
    </row>
    <row r="70" spans="1:7">
      <c r="A70" s="28">
        <f>'Snapshot Setup'!$B$4</f>
        <v>46174</v>
      </c>
      <c r="B70" s="26" t="str">
        <f>IF('Snapshot Setup'!B8="","",'Snapshot Setup'!B8)</f>
        <v>P&amp;G Home Care (Mr. Clean, Microban 24)</v>
      </c>
      <c r="C70" s="26" t="b">
        <v>0</v>
      </c>
      <c r="D70" s="26" t="s">
        <v>172</v>
      </c>
      <c r="E70" s="26" t="s">
        <v>1041</v>
      </c>
      <c r="F70" s="26" t="s">
        <v>334</v>
      </c>
      <c r="G70" s="15">
        <f t="shared" si="2"/>
        <v>51</v>
      </c>
    </row>
    <row r="71" spans="1:7">
      <c r="A71" s="28">
        <f>'Snapshot Setup'!$B$4</f>
        <v>46174</v>
      </c>
      <c r="B71" s="26" t="str">
        <f>IF('Snapshot Setup'!B8="","",'Snapshot Setup'!B8)</f>
        <v>P&amp;G Home Care (Mr. Clean, Microban 24)</v>
      </c>
      <c r="C71" s="26" t="b">
        <v>0</v>
      </c>
      <c r="D71" s="26" t="s">
        <v>172</v>
      </c>
      <c r="E71" s="26" t="s">
        <v>1042</v>
      </c>
      <c r="F71" s="26" t="s">
        <v>477</v>
      </c>
      <c r="G71" s="15">
        <f t="shared" si="2"/>
        <v>22</v>
      </c>
    </row>
    <row r="72" spans="1:7">
      <c r="A72" s="28">
        <f>'Snapshot Setup'!$B$4</f>
        <v>46174</v>
      </c>
      <c r="B72" s="26" t="str">
        <f>IF('Snapshot Setup'!B8="","",'Snapshot Setup'!B8)</f>
        <v>P&amp;G Home Care (Mr. Clean, Microban 24)</v>
      </c>
      <c r="C72" s="26" t="b">
        <v>0</v>
      </c>
      <c r="D72" s="26" t="s">
        <v>173</v>
      </c>
      <c r="E72" s="26" t="s">
        <v>1043</v>
      </c>
      <c r="F72" s="26" t="s">
        <v>278</v>
      </c>
      <c r="G72" s="15">
        <f t="shared" si="2"/>
        <v>29</v>
      </c>
    </row>
    <row r="73" spans="1:7">
      <c r="A73" s="28">
        <f>'Snapshot Setup'!$B$4</f>
        <v>46174</v>
      </c>
      <c r="B73" s="26" t="str">
        <f>IF('Snapshot Setup'!B8="","",'Snapshot Setup'!B8)</f>
        <v>P&amp;G Home Care (Mr. Clean, Microban 24)</v>
      </c>
      <c r="C73" s="26" t="b">
        <v>0</v>
      </c>
      <c r="D73" s="26" t="s">
        <v>173</v>
      </c>
      <c r="E73" s="26" t="s">
        <v>1044</v>
      </c>
      <c r="F73" s="26" t="s">
        <v>241</v>
      </c>
      <c r="G73" s="15">
        <f t="shared" si="2"/>
        <v>68</v>
      </c>
    </row>
    <row r="74" spans="1:7">
      <c r="A74" s="28">
        <f>'Snapshot Setup'!$B$4</f>
        <v>46174</v>
      </c>
      <c r="B74" s="26" t="str">
        <f>IF('Snapshot Setup'!B8="","",'Snapshot Setup'!B8)</f>
        <v>P&amp;G Home Care (Mr. Clean, Microban 24)</v>
      </c>
      <c r="C74" s="26" t="b">
        <v>0</v>
      </c>
      <c r="D74" s="26" t="s">
        <v>173</v>
      </c>
      <c r="E74" s="26" t="s">
        <v>1045</v>
      </c>
      <c r="F74" s="26" t="s">
        <v>224</v>
      </c>
      <c r="G74" s="15">
        <f t="shared" si="2"/>
        <v>70</v>
      </c>
    </row>
    <row r="75" spans="1:7">
      <c r="A75" s="28">
        <f>'Snapshot Setup'!$B$4</f>
        <v>46174</v>
      </c>
      <c r="B75" s="26" t="str">
        <f>IF('Snapshot Setup'!B8="","",'Snapshot Setup'!B8)</f>
        <v>P&amp;G Home Care (Mr. Clean, Microban 24)</v>
      </c>
      <c r="C75" s="26" t="b">
        <v>0</v>
      </c>
      <c r="D75" s="26" t="s">
        <v>173</v>
      </c>
      <c r="E75" s="26" t="s">
        <v>1046</v>
      </c>
      <c r="F75" s="26" t="s">
        <v>273</v>
      </c>
      <c r="G75" s="15">
        <f t="shared" si="2"/>
        <v>42</v>
      </c>
    </row>
    <row r="76" spans="1:7">
      <c r="A76" s="28">
        <f>'Snapshot Setup'!$B$4</f>
        <v>46174</v>
      </c>
      <c r="B76" s="26" t="str">
        <f>IF('Snapshot Setup'!B8="","",'Snapshot Setup'!B8)</f>
        <v>P&amp;G Home Care (Mr. Clean, Microban 24)</v>
      </c>
      <c r="C76" s="26" t="b">
        <v>0</v>
      </c>
      <c r="D76" s="26" t="s">
        <v>173</v>
      </c>
      <c r="E76" s="26" t="s">
        <v>1047</v>
      </c>
      <c r="F76" s="26" t="s">
        <v>449</v>
      </c>
      <c r="G76" s="15">
        <f t="shared" si="2"/>
        <v>62</v>
      </c>
    </row>
    <row r="77" spans="1:7">
      <c r="A77" s="28">
        <f>'Snapshot Setup'!$B$4</f>
        <v>46174</v>
      </c>
      <c r="B77" s="26" t="str">
        <f>IF('Snapshot Setup'!B9="","",'Snapshot Setup'!B9)</f>
        <v>Seventh Generation</v>
      </c>
      <c r="C77" s="26" t="b">
        <v>0</v>
      </c>
      <c r="D77" s="26" t="s">
        <v>170</v>
      </c>
      <c r="E77" s="26" t="s">
        <v>1031</v>
      </c>
      <c r="F77" s="26" t="s">
        <v>364</v>
      </c>
      <c r="G77" s="15">
        <f t="shared" ref="G77:G93" si="3">G4</f>
        <v>70</v>
      </c>
    </row>
    <row r="78" spans="1:7">
      <c r="A78" s="28">
        <f>'Snapshot Setup'!$B$4</f>
        <v>46174</v>
      </c>
      <c r="B78" s="26" t="str">
        <f>IF('Snapshot Setup'!B9="","",'Snapshot Setup'!B9)</f>
        <v>Seventh Generation</v>
      </c>
      <c r="C78" s="26" t="b">
        <v>0</v>
      </c>
      <c r="D78" s="26" t="s">
        <v>170</v>
      </c>
      <c r="E78" s="26" t="s">
        <v>1032</v>
      </c>
      <c r="F78" s="26" t="s">
        <v>284</v>
      </c>
      <c r="G78" s="15">
        <f t="shared" si="3"/>
        <v>67.333333333333329</v>
      </c>
    </row>
    <row r="79" spans="1:7">
      <c r="A79" s="28">
        <f>'Snapshot Setup'!$B$4</f>
        <v>46174</v>
      </c>
      <c r="B79" s="26" t="str">
        <f>IF('Snapshot Setup'!B9="","",'Snapshot Setup'!B9)</f>
        <v>Seventh Generation</v>
      </c>
      <c r="C79" s="26" t="b">
        <v>0</v>
      </c>
      <c r="D79" s="26" t="s">
        <v>170</v>
      </c>
      <c r="E79" s="26" t="s">
        <v>1033</v>
      </c>
      <c r="F79" s="26" t="s">
        <v>353</v>
      </c>
      <c r="G79" s="15">
        <f t="shared" si="3"/>
        <v>68</v>
      </c>
    </row>
    <row r="80" spans="1:7">
      <c r="A80" s="28">
        <f>'Snapshot Setup'!$B$4</f>
        <v>46174</v>
      </c>
      <c r="B80" s="26" t="str">
        <f>IF('Snapshot Setup'!B9="","",'Snapshot Setup'!B9)</f>
        <v>Seventh Generation</v>
      </c>
      <c r="C80" s="26" t="b">
        <v>0</v>
      </c>
      <c r="D80" s="26" t="s">
        <v>170</v>
      </c>
      <c r="E80" s="26" t="s">
        <v>1034</v>
      </c>
      <c r="F80" s="26" t="s">
        <v>389</v>
      </c>
      <c r="G80" s="15">
        <f t="shared" si="3"/>
        <v>69</v>
      </c>
    </row>
    <row r="81" spans="1:7">
      <c r="A81" s="28">
        <f>'Snapshot Setup'!$B$4</f>
        <v>46174</v>
      </c>
      <c r="B81" s="26" t="str">
        <f>IF('Snapshot Setup'!B9="","",'Snapshot Setup'!B9)</f>
        <v>Seventh Generation</v>
      </c>
      <c r="C81" s="26" t="b">
        <v>0</v>
      </c>
      <c r="D81" s="26" t="s">
        <v>170</v>
      </c>
      <c r="E81" s="26" t="s">
        <v>1035</v>
      </c>
      <c r="F81" s="26" t="s">
        <v>313</v>
      </c>
      <c r="G81" s="15">
        <f t="shared" si="3"/>
        <v>66</v>
      </c>
    </row>
    <row r="82" spans="1:7">
      <c r="A82" s="28">
        <f>'Snapshot Setup'!$B$4</f>
        <v>46174</v>
      </c>
      <c r="B82" s="26" t="str">
        <f>IF('Snapshot Setup'!B9="","",'Snapshot Setup'!B9)</f>
        <v>Seventh Generation</v>
      </c>
      <c r="C82" s="26" t="b">
        <v>0</v>
      </c>
      <c r="D82" s="26" t="s">
        <v>171</v>
      </c>
      <c r="E82" s="26" t="s">
        <v>1036</v>
      </c>
      <c r="F82" s="26" t="s">
        <v>194</v>
      </c>
      <c r="G82" s="15">
        <f t="shared" si="3"/>
        <v>62.6</v>
      </c>
    </row>
    <row r="83" spans="1:7">
      <c r="A83" s="28">
        <f>'Snapshot Setup'!$B$4</f>
        <v>46174</v>
      </c>
      <c r="B83" s="26" t="str">
        <f>IF('Snapshot Setup'!B9="","",'Snapshot Setup'!B9)</f>
        <v>Seventh Generation</v>
      </c>
      <c r="C83" s="26" t="b">
        <v>0</v>
      </c>
      <c r="D83" s="26" t="s">
        <v>171</v>
      </c>
      <c r="E83" s="26" t="s">
        <v>1037</v>
      </c>
      <c r="F83" s="26" t="s">
        <v>330</v>
      </c>
      <c r="G83" s="15">
        <f t="shared" si="3"/>
        <v>67</v>
      </c>
    </row>
    <row r="84" spans="1:7">
      <c r="A84" s="28">
        <f>'Snapshot Setup'!$B$4</f>
        <v>46174</v>
      </c>
      <c r="B84" s="26" t="str">
        <f>IF('Snapshot Setup'!B9="","",'Snapshot Setup'!B9)</f>
        <v>Seventh Generation</v>
      </c>
      <c r="C84" s="26" t="b">
        <v>0</v>
      </c>
      <c r="D84" s="26" t="s">
        <v>171</v>
      </c>
      <c r="E84" s="26" t="s">
        <v>1038</v>
      </c>
      <c r="F84" s="26" t="s">
        <v>231</v>
      </c>
      <c r="G84" s="15">
        <f t="shared" si="3"/>
        <v>54.666666666666664</v>
      </c>
    </row>
    <row r="85" spans="1:7">
      <c r="A85" s="28">
        <f>'Snapshot Setup'!$B$4</f>
        <v>46174</v>
      </c>
      <c r="B85" s="26" t="str">
        <f>IF('Snapshot Setup'!B9="","",'Snapshot Setup'!B9)</f>
        <v>Seventh Generation</v>
      </c>
      <c r="C85" s="26" t="b">
        <v>0</v>
      </c>
      <c r="D85" s="26" t="s">
        <v>171</v>
      </c>
      <c r="E85" s="26" t="s">
        <v>1039</v>
      </c>
      <c r="F85" s="26" t="s">
        <v>251</v>
      </c>
      <c r="G85" s="15">
        <f t="shared" si="3"/>
        <v>69</v>
      </c>
    </row>
    <row r="86" spans="1:7">
      <c r="A86" s="28">
        <f>'Snapshot Setup'!$B$4</f>
        <v>46174</v>
      </c>
      <c r="B86" s="26" t="str">
        <f>IF('Snapshot Setup'!B9="","",'Snapshot Setup'!B9)</f>
        <v>Seventh Generation</v>
      </c>
      <c r="C86" s="26" t="b">
        <v>0</v>
      </c>
      <c r="D86" s="26" t="s">
        <v>172</v>
      </c>
      <c r="E86" s="26" t="s">
        <v>1040</v>
      </c>
      <c r="F86" s="26" t="s">
        <v>325</v>
      </c>
      <c r="G86" s="15">
        <f t="shared" si="3"/>
        <v>70</v>
      </c>
    </row>
    <row r="87" spans="1:7">
      <c r="A87" s="28">
        <f>'Snapshot Setup'!$B$4</f>
        <v>46174</v>
      </c>
      <c r="B87" s="26" t="str">
        <f>IF('Snapshot Setup'!B9="","",'Snapshot Setup'!B9)</f>
        <v>Seventh Generation</v>
      </c>
      <c r="C87" s="26" t="b">
        <v>0</v>
      </c>
      <c r="D87" s="26" t="s">
        <v>172</v>
      </c>
      <c r="E87" s="26" t="s">
        <v>1041</v>
      </c>
      <c r="F87" s="26" t="s">
        <v>334</v>
      </c>
      <c r="G87" s="15">
        <f t="shared" si="3"/>
        <v>52</v>
      </c>
    </row>
    <row r="88" spans="1:7">
      <c r="A88" s="28">
        <f>'Snapshot Setup'!$B$4</f>
        <v>46174</v>
      </c>
      <c r="B88" s="26" t="str">
        <f>IF('Snapshot Setup'!B9="","",'Snapshot Setup'!B9)</f>
        <v>Seventh Generation</v>
      </c>
      <c r="C88" s="26" t="b">
        <v>0</v>
      </c>
      <c r="D88" s="26" t="s">
        <v>172</v>
      </c>
      <c r="E88" s="26" t="s">
        <v>1042</v>
      </c>
      <c r="F88" s="26" t="s">
        <v>477</v>
      </c>
      <c r="G88" s="15">
        <f t="shared" si="3"/>
        <v>22</v>
      </c>
    </row>
    <row r="89" spans="1:7">
      <c r="A89" s="28">
        <f>'Snapshot Setup'!$B$4</f>
        <v>46174</v>
      </c>
      <c r="B89" s="26" t="str">
        <f>IF('Snapshot Setup'!B9="","",'Snapshot Setup'!B9)</f>
        <v>Seventh Generation</v>
      </c>
      <c r="C89" s="26" t="b">
        <v>0</v>
      </c>
      <c r="D89" s="26" t="s">
        <v>173</v>
      </c>
      <c r="E89" s="26" t="s">
        <v>1043</v>
      </c>
      <c r="F89" s="26" t="s">
        <v>278</v>
      </c>
      <c r="G89" s="15">
        <f t="shared" si="3"/>
        <v>29.333333333333332</v>
      </c>
    </row>
    <row r="90" spans="1:7">
      <c r="A90" s="28">
        <f>'Snapshot Setup'!$B$4</f>
        <v>46174</v>
      </c>
      <c r="B90" s="26" t="str">
        <f>IF('Snapshot Setup'!B9="","",'Snapshot Setup'!B9)</f>
        <v>Seventh Generation</v>
      </c>
      <c r="C90" s="26" t="b">
        <v>0</v>
      </c>
      <c r="D90" s="26" t="s">
        <v>173</v>
      </c>
      <c r="E90" s="26" t="s">
        <v>1044</v>
      </c>
      <c r="F90" s="26" t="s">
        <v>241</v>
      </c>
      <c r="G90" s="15">
        <f t="shared" si="3"/>
        <v>60</v>
      </c>
    </row>
    <row r="91" spans="1:7">
      <c r="A91" s="28">
        <f>'Snapshot Setup'!$B$4</f>
        <v>46174</v>
      </c>
      <c r="B91" s="26" t="str">
        <f>IF('Snapshot Setup'!B9="","",'Snapshot Setup'!B9)</f>
        <v>Seventh Generation</v>
      </c>
      <c r="C91" s="26" t="b">
        <v>0</v>
      </c>
      <c r="D91" s="26" t="s">
        <v>173</v>
      </c>
      <c r="E91" s="26" t="s">
        <v>1045</v>
      </c>
      <c r="F91" s="26" t="s">
        <v>224</v>
      </c>
      <c r="G91" s="15">
        <f t="shared" si="3"/>
        <v>57</v>
      </c>
    </row>
    <row r="92" spans="1:7">
      <c r="A92" s="28">
        <f>'Snapshot Setup'!$B$4</f>
        <v>46174</v>
      </c>
      <c r="B92" s="26" t="str">
        <f>IF('Snapshot Setup'!B9="","",'Snapshot Setup'!B9)</f>
        <v>Seventh Generation</v>
      </c>
      <c r="C92" s="26" t="b">
        <v>0</v>
      </c>
      <c r="D92" s="26" t="s">
        <v>173</v>
      </c>
      <c r="E92" s="26" t="s">
        <v>1046</v>
      </c>
      <c r="F92" s="26" t="s">
        <v>273</v>
      </c>
      <c r="G92" s="15">
        <f t="shared" si="3"/>
        <v>64</v>
      </c>
    </row>
    <row r="93" spans="1:7">
      <c r="A93" s="28">
        <f>'Snapshot Setup'!$B$4</f>
        <v>46174</v>
      </c>
      <c r="B93" s="26" t="str">
        <f>IF('Snapshot Setup'!B9="","",'Snapshot Setup'!B9)</f>
        <v>Seventh Generation</v>
      </c>
      <c r="C93" s="26" t="b">
        <v>0</v>
      </c>
      <c r="D93" s="26" t="s">
        <v>173</v>
      </c>
      <c r="E93" s="26" t="s">
        <v>1047</v>
      </c>
      <c r="F93" s="26" t="s">
        <v>449</v>
      </c>
      <c r="G93" s="15">
        <f t="shared" si="3"/>
        <v>58</v>
      </c>
    </row>
  </sheetData>
  <mergeCells count="2">
    <mergeCell ref="A1:K1"/>
    <mergeCell ref="A24:K24"/>
  </mergeCells>
  <conditionalFormatting sqref="D4:J20">
    <cfRule type="colorScale" priority="1">
      <colorScale>
        <cfvo type="num" val="0"/>
        <cfvo type="num" val="50"/>
        <cfvo type="num" val="100"/>
        <color rgb="FFE85D5D"/>
        <color rgb="FFFFEB99"/>
        <color rgb="FF7BC97B"/>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8"/>
  <sheetViews>
    <sheetView workbookViewId="0">
      <pane xSplit="2" ySplit="3" topLeftCell="C4" activePane="bottomRight" state="frozen"/>
      <selection pane="bottomRight" activeCell="I1" sqref="I1:I1048576"/>
      <selection pane="bottomLeft"/>
      <selection pane="topRight"/>
    </sheetView>
  </sheetViews>
  <sheetFormatPr defaultColWidth="8.85546875" defaultRowHeight="15"/>
  <cols>
    <col min="1" max="1" width="30" customWidth="1"/>
    <col min="2" max="2" width="11" customWidth="1"/>
    <col min="3" max="3" width="16" customWidth="1"/>
    <col min="4" max="4" width="27" customWidth="1"/>
    <col min="5" max="9" width="16" customWidth="1"/>
  </cols>
  <sheetData>
    <row r="1" spans="1:10" ht="27.95" customHeight="1">
      <c r="A1" s="80">
        <f>IFERROR((IFERROR('Computed — Sub-Dim Scores'!E4*0.3,0) + IFERROR('Computed — Sub-Dim Scores'!E5*0.3,0) + IFERROR('Computed — Sub-Dim Scores'!E6*0.2,0) + IFERROR('Computed — Sub-Dim Scores'!E7*0.15,0) + IFERROR('Computed — Sub-Dim Scores'!E8*0.05,0))/(IF(ISNUMBER('Computed — Sub-Dim Scores'!E4),0.3,0) + IF(ISNUMBER('Computed — Sub-Dim Scores'!E5),0.3,0) + IF(ISNUMBER('Computed — Sub-Dim Scores'!E6),0.2,0) + IF(ISNUMBER('Computed — Sub-Dim Scores'!E7),0.15,0) + IF(ISNUMBER('Computed — Sub-Dim Scores'!E8),0.05,0)),"")</f>
        <v>71.33</v>
      </c>
      <c r="B1" s="81"/>
      <c r="C1" s="81"/>
      <c r="D1" s="81"/>
      <c r="E1" s="81"/>
      <c r="F1" s="81"/>
      <c r="G1" s="81"/>
      <c r="H1" s="81"/>
      <c r="I1" s="81"/>
    </row>
    <row r="3" spans="1:10">
      <c r="A3" s="9" t="s">
        <v>1056</v>
      </c>
      <c r="B3" s="9" t="s">
        <v>1057</v>
      </c>
      <c r="C3" s="9" t="str">
        <f>IF('Snapshot Setup'!B6="","",'Snapshot Setup'!B6)</f>
        <v>Lysol</v>
      </c>
      <c r="D3" s="9" t="str">
        <f>IF('Snapshot Setup'!B7="","",'Snapshot Setup'!B7)</f>
        <v>Clorox Portfolio (Clorox, Pine-Sol, Purell)</v>
      </c>
      <c r="E3" s="9" t="str">
        <f>IF('Snapshot Setup'!B8="","",'Snapshot Setup'!B8)</f>
        <v>P&amp;G Home Care (Mr. Clean, Microban 24)</v>
      </c>
      <c r="F3" s="9" t="str">
        <f>IF('Snapshot Setup'!B9="","",'Snapshot Setup'!B9)</f>
        <v>Seventh Generation</v>
      </c>
      <c r="G3" s="9"/>
      <c r="H3" s="9"/>
      <c r="I3" s="9"/>
    </row>
    <row r="4" spans="1:10">
      <c r="A4" s="10" t="s">
        <v>170</v>
      </c>
      <c r="B4" s="23">
        <v>5</v>
      </c>
      <c r="C4" s="27">
        <f>IFERROR((IFERROR('Computed — Sub-Dim Scores'!D4*0.3,0) + IFERROR('Computed — Sub-Dim Scores'!D5*0.3,0) + IFERROR('Computed — Sub-Dim Scores'!D6*0.2,0) + IFERROR('Computed — Sub-Dim Scores'!D7*0.15,0) + IFERROR('Computed — Sub-Dim Scores'!D8*0.05,0))/(IF(ISNUMBER('Computed — Sub-Dim Scores'!D4),0.3,0) + IF(ISNUMBER('Computed — Sub-Dim Scores'!D5),0.3,0) + IF(ISNUMBER('Computed — Sub-Dim Scores'!D6),0.2,0) + IF(ISNUMBER('Computed — Sub-Dim Scores'!D7),0.15,0) + IF(ISNUMBER('Computed — Sub-Dim Scores'!D8),0.05,0)),"")</f>
        <v>54.55</v>
      </c>
      <c r="D4" s="27">
        <f>IFERROR((IFERROR('Computed — Sub-Dim Scores'!E4*0.3,0) + IFERROR('Computed — Sub-Dim Scores'!E5*0.3,0) + IFERROR('Computed — Sub-Dim Scores'!E6*0.2,0) + IFERROR('Computed — Sub-Dim Scores'!E7*0.15,0) + IFERROR('Computed — Sub-Dim Scores'!E8*0.05,0))/(IF(ISNUMBER('Computed — Sub-Dim Scores'!E4),0.3,0) + IF(ISNUMBER('Computed — Sub-Dim Scores'!E5),0.3,0) + IF(ISNUMBER('Computed — Sub-Dim Scores'!E6),0.2,0) + IF(ISNUMBER('Computed — Sub-Dim Scores'!E7),0.15,0) + IF(ISNUMBER('Computed — Sub-Dim Scores'!E8),0.05,0)),"")</f>
        <v>71.33</v>
      </c>
      <c r="E4" s="27">
        <f>IFERROR((IFERROR('Computed — Sub-Dim Scores'!F4*0.3,0) + IFERROR('Computed — Sub-Dim Scores'!F5*0.3,0) + IFERROR('Computed — Sub-Dim Scores'!F6*0.2,0) + IFERROR('Computed — Sub-Dim Scores'!F7*0.15,0) + IFERROR('Computed — Sub-Dim Scores'!F8*0.05,0))/(IF(ISNUMBER('Computed — Sub-Dim Scores'!F4),0.3,0) + IF(ISNUMBER('Computed — Sub-Dim Scores'!F5),0.3,0) + IF(ISNUMBER('Computed — Sub-Dim Scores'!F6),0.2,0) + IF(ISNUMBER('Computed — Sub-Dim Scores'!F7),0.15,0) + IF(ISNUMBER('Computed — Sub-Dim Scores'!F8),0.05,0)),"")</f>
        <v>59.78</v>
      </c>
      <c r="F4" s="27">
        <f>IFERROR((IFERROR('Computed — Sub-Dim Scores'!G4*0.3,0) + IFERROR('Computed — Sub-Dim Scores'!G5*0.3,0) + IFERROR('Computed — Sub-Dim Scores'!G6*0.2,0) + IFERROR('Computed — Sub-Dim Scores'!G7*0.15,0) + IFERROR('Computed — Sub-Dim Scores'!G8*0.05,0))/(IF(ISNUMBER('Computed — Sub-Dim Scores'!G4),0.3,0) + IF(ISNUMBER('Computed — Sub-Dim Scores'!G5),0.3,0) + IF(ISNUMBER('Computed — Sub-Dim Scores'!G6),0.2,0) + IF(ISNUMBER('Computed — Sub-Dim Scores'!G7),0.15,0) + IF(ISNUMBER('Computed — Sub-Dim Scores'!G8),0.05,0)),"")</f>
        <v>68.45</v>
      </c>
      <c r="G4" s="27"/>
      <c r="H4" s="27"/>
      <c r="I4" s="27"/>
    </row>
    <row r="5" spans="1:10">
      <c r="A5" s="10" t="s">
        <v>171</v>
      </c>
      <c r="B5" s="23">
        <v>4</v>
      </c>
      <c r="C5" s="27">
        <f>IFERROR((IFERROR('Computed — Sub-Dim Scores'!D9*0.3,0) + IFERROR('Computed — Sub-Dim Scores'!D10*0.3,0) + IFERROR('Computed — Sub-Dim Scores'!D11*0.25,0) + IFERROR('Computed — Sub-Dim Scores'!D12*0.15,0))/(IF(ISNUMBER('Computed — Sub-Dim Scores'!D9),0.3,0) + IF(ISNUMBER('Computed — Sub-Dim Scores'!D10),0.3,0) + IF(ISNUMBER('Computed — Sub-Dim Scores'!D11),0.25,0) + IF(ISNUMBER('Computed — Sub-Dim Scores'!D12),0.15,0)),"")</f>
        <v>56.97</v>
      </c>
      <c r="D5" s="27">
        <f>IFERROR((IFERROR('Computed — Sub-Dim Scores'!E9*0.3,0) + IFERROR('Computed — Sub-Dim Scores'!E10*0.3,0) + IFERROR('Computed — Sub-Dim Scores'!E11*0.25,0) + IFERROR('Computed — Sub-Dim Scores'!E12*0.15,0))/(IF(ISNUMBER('Computed — Sub-Dim Scores'!E9),0.3,0) + IF(ISNUMBER('Computed — Sub-Dim Scores'!E10),0.3,0) + IF(ISNUMBER('Computed — Sub-Dim Scores'!E11),0.25,0) + IF(ISNUMBER('Computed — Sub-Dim Scores'!E12),0.15,0)),"")</f>
        <v>70.389999999999986</v>
      </c>
      <c r="E5" s="27">
        <f>IFERROR((IFERROR('Computed — Sub-Dim Scores'!F9*0.3,0) + IFERROR('Computed — Sub-Dim Scores'!F10*0.3,0) + IFERROR('Computed — Sub-Dim Scores'!F11*0.25,0) + IFERROR('Computed — Sub-Dim Scores'!F12*0.15,0))/(IF(ISNUMBER('Computed — Sub-Dim Scores'!F9),0.3,0) + IF(ISNUMBER('Computed — Sub-Dim Scores'!F10),0.3,0) + IF(ISNUMBER('Computed — Sub-Dim Scores'!F11),0.25,0) + IF(ISNUMBER('Computed — Sub-Dim Scores'!F12),0.15,0)),"")</f>
        <v>64.333333333333329</v>
      </c>
      <c r="F5" s="27">
        <f>IFERROR((IFERROR('Computed — Sub-Dim Scores'!G9*0.3,0) + IFERROR('Computed — Sub-Dim Scores'!G10*0.3,0) + IFERROR('Computed — Sub-Dim Scores'!G11*0.25,0) + IFERROR('Computed — Sub-Dim Scores'!G12*0.15,0))/(IF(ISNUMBER('Computed — Sub-Dim Scores'!G9),0.3,0) + IF(ISNUMBER('Computed — Sub-Dim Scores'!G10),0.3,0) + IF(ISNUMBER('Computed — Sub-Dim Scores'!G11),0.25,0) + IF(ISNUMBER('Computed — Sub-Dim Scores'!G12),0.15,0)),"")</f>
        <v>62.896666666666661</v>
      </c>
      <c r="G5" s="27"/>
      <c r="H5" s="27"/>
      <c r="I5" s="27"/>
    </row>
    <row r="6" spans="1:10">
      <c r="A6" s="10" t="s">
        <v>172</v>
      </c>
      <c r="B6" s="23">
        <v>3</v>
      </c>
      <c r="C6" s="27">
        <f>IFERROR((IFERROR('Computed — Sub-Dim Scores'!D13*0.4,0) + IFERROR('Computed — Sub-Dim Scores'!D14*0.35,0) + IFERROR('Computed — Sub-Dim Scores'!D15*0.25,0))/(IF(ISNUMBER('Computed — Sub-Dim Scores'!D13),0.4,0) + IF(ISNUMBER('Computed — Sub-Dim Scores'!D14),0.35,0) + IF(ISNUMBER('Computed — Sub-Dim Scores'!D15),0.25,0)),"")</f>
        <v>42</v>
      </c>
      <c r="D6" s="27">
        <f>IFERROR((IFERROR('Computed — Sub-Dim Scores'!E13*0.4,0) + IFERROR('Computed — Sub-Dim Scores'!E14*0.35,0) + IFERROR('Computed — Sub-Dim Scores'!E15*0.25,0))/(IF(ISNUMBER('Computed — Sub-Dim Scores'!E13),0.4,0) + IF(ISNUMBER('Computed — Sub-Dim Scores'!E14),0.35,0) + IF(ISNUMBER('Computed — Sub-Dim Scores'!E15),0.25,0)),"")</f>
        <v>50.55</v>
      </c>
      <c r="E6" s="27">
        <f>IFERROR((IFERROR('Computed — Sub-Dim Scores'!F13*0.4,0) + IFERROR('Computed — Sub-Dim Scores'!F14*0.35,0) + IFERROR('Computed — Sub-Dim Scores'!F15*0.25,0))/(IF(ISNUMBER('Computed — Sub-Dim Scores'!F13),0.4,0) + IF(ISNUMBER('Computed — Sub-Dim Scores'!F14),0.35,0) + IF(ISNUMBER('Computed — Sub-Dim Scores'!F15),0.25,0)),"")</f>
        <v>49.75</v>
      </c>
      <c r="F6" s="27">
        <f>IFERROR((IFERROR('Computed — Sub-Dim Scores'!G13*0.4,0) + IFERROR('Computed — Sub-Dim Scores'!G14*0.35,0) + IFERROR('Computed — Sub-Dim Scores'!G15*0.25,0))/(IF(ISNUMBER('Computed — Sub-Dim Scores'!G13),0.4,0) + IF(ISNUMBER('Computed — Sub-Dim Scores'!G14),0.35,0) + IF(ISNUMBER('Computed — Sub-Dim Scores'!G15),0.25,0)),"")</f>
        <v>51.7</v>
      </c>
      <c r="G6" s="27"/>
      <c r="H6" s="27"/>
      <c r="I6" s="27"/>
    </row>
    <row r="7" spans="1:10">
      <c r="A7" s="10" t="s">
        <v>173</v>
      </c>
      <c r="B7" s="23">
        <v>5</v>
      </c>
      <c r="C7" s="27">
        <f>IFERROR((IFERROR('Computed — Sub-Dim Scores'!D16*0.3,0) + IFERROR('Computed — Sub-Dim Scores'!D17*0.2,0) + IFERROR('Computed — Sub-Dim Scores'!D18*0.2,0) + IFERROR('Computed — Sub-Dim Scores'!D19*0.2,0) + IFERROR('Computed — Sub-Dim Scores'!D20*0.1,0))/(IF(ISNUMBER('Computed — Sub-Dim Scores'!D16),0.3,0) + IF(ISNUMBER('Computed — Sub-Dim Scores'!D17),0.2,0) + IF(ISNUMBER('Computed — Sub-Dim Scores'!D18),0.2,0) + IF(ISNUMBER('Computed — Sub-Dim Scores'!D19),0.2,0) + IF(ISNUMBER('Computed — Sub-Dim Scores'!D20),0.1,0)),"")</f>
        <v>47.966666666666676</v>
      </c>
      <c r="D7" s="27">
        <f>IFERROR((IFERROR('Computed — Sub-Dim Scores'!E16*0.3,0) + IFERROR('Computed — Sub-Dim Scores'!E17*0.2,0) + IFERROR('Computed — Sub-Dim Scores'!E18*0.2,0) + IFERROR('Computed — Sub-Dim Scores'!E19*0.2,0) + IFERROR('Computed — Sub-Dim Scores'!E20*0.1,0))/(IF(ISNUMBER('Computed — Sub-Dim Scores'!E16),0.3,0) + IF(ISNUMBER('Computed — Sub-Dim Scores'!E17),0.2,0) + IF(ISNUMBER('Computed — Sub-Dim Scores'!E18),0.2,0) + IF(ISNUMBER('Computed — Sub-Dim Scores'!E19),0.2,0) + IF(ISNUMBER('Computed — Sub-Dim Scores'!E20),0.1,0)),"")</f>
        <v>54.800000000000004</v>
      </c>
      <c r="E7" s="27">
        <f>IFERROR((IFERROR('Computed — Sub-Dim Scores'!F16*0.3,0) + IFERROR('Computed — Sub-Dim Scores'!F17*0.2,0) + IFERROR('Computed — Sub-Dim Scores'!F18*0.2,0) + IFERROR('Computed — Sub-Dim Scores'!F19*0.2,0) + IFERROR('Computed — Sub-Dim Scores'!F20*0.1,0))/(IF(ISNUMBER('Computed — Sub-Dim Scores'!F16),0.3,0) + IF(ISNUMBER('Computed — Sub-Dim Scores'!F17),0.2,0) + IF(ISNUMBER('Computed — Sub-Dim Scores'!F18),0.2,0) + IF(ISNUMBER('Computed — Sub-Dim Scores'!F19),0.2,0) + IF(ISNUMBER('Computed — Sub-Dim Scores'!F20),0.1,0)),"")</f>
        <v>50.900000000000006</v>
      </c>
      <c r="F7" s="27">
        <f>IFERROR((IFERROR('Computed — Sub-Dim Scores'!G16*0.3,0) + IFERROR('Computed — Sub-Dim Scores'!G17*0.2,0) + IFERROR('Computed — Sub-Dim Scores'!G18*0.2,0) + IFERROR('Computed — Sub-Dim Scores'!G19*0.2,0) + IFERROR('Computed — Sub-Dim Scores'!G20*0.1,0))/(IF(ISNUMBER('Computed — Sub-Dim Scores'!G16),0.3,0) + IF(ISNUMBER('Computed — Sub-Dim Scores'!G17),0.2,0) + IF(ISNUMBER('Computed — Sub-Dim Scores'!G18),0.2,0) + IF(ISNUMBER('Computed — Sub-Dim Scores'!G19),0.2,0) + IF(ISNUMBER('Computed — Sub-Dim Scores'!G20),0.1,0)),"")</f>
        <v>50.800000000000004</v>
      </c>
      <c r="G7" s="27"/>
      <c r="H7" s="27"/>
      <c r="I7" s="27"/>
    </row>
    <row r="11" spans="1:10" ht="15.95" customHeight="1">
      <c r="A11" s="83" t="s">
        <v>1058</v>
      </c>
      <c r="B11" s="81"/>
      <c r="C11" s="81"/>
      <c r="D11" s="81"/>
      <c r="E11" s="81"/>
      <c r="F11" s="81"/>
      <c r="G11" s="81"/>
      <c r="H11" s="81"/>
      <c r="I11" s="81"/>
      <c r="J11" s="81"/>
    </row>
    <row r="12" spans="1:10">
      <c r="A12" s="14" t="s">
        <v>1049</v>
      </c>
      <c r="B12" s="14" t="s">
        <v>1050</v>
      </c>
      <c r="C12" s="14" t="s">
        <v>1051</v>
      </c>
      <c r="D12" s="14" t="s">
        <v>1052</v>
      </c>
      <c r="E12" s="14" t="s">
        <v>1055</v>
      </c>
    </row>
    <row r="13" spans="1:10">
      <c r="A13" s="28">
        <f>'Snapshot Setup'!$B$4</f>
        <v>46174</v>
      </c>
      <c r="B13" s="26" t="str">
        <f>IF('Snapshot Setup'!B6="","",'Snapshot Setup'!B6)</f>
        <v>Lysol</v>
      </c>
      <c r="C13" s="26" t="b">
        <v>1</v>
      </c>
      <c r="D13" s="26" t="s">
        <v>170</v>
      </c>
      <c r="E13" s="15">
        <f>C4</f>
        <v>54.55</v>
      </c>
    </row>
    <row r="14" spans="1:10">
      <c r="A14" s="28">
        <f>'Snapshot Setup'!$B$4</f>
        <v>46174</v>
      </c>
      <c r="B14" s="26" t="str">
        <f>IF('Snapshot Setup'!B6="","",'Snapshot Setup'!B6)</f>
        <v>Lysol</v>
      </c>
      <c r="C14" s="26" t="b">
        <v>1</v>
      </c>
      <c r="D14" s="26" t="s">
        <v>171</v>
      </c>
      <c r="E14" s="15">
        <f>C5</f>
        <v>56.97</v>
      </c>
    </row>
    <row r="15" spans="1:10">
      <c r="A15" s="28">
        <f>'Snapshot Setup'!$B$4</f>
        <v>46174</v>
      </c>
      <c r="B15" s="26" t="str">
        <f>IF('Snapshot Setup'!B6="","",'Snapshot Setup'!B6)</f>
        <v>Lysol</v>
      </c>
      <c r="C15" s="26" t="b">
        <v>1</v>
      </c>
      <c r="D15" s="26" t="s">
        <v>172</v>
      </c>
      <c r="E15" s="15">
        <f>C6</f>
        <v>42</v>
      </c>
    </row>
    <row r="16" spans="1:10">
      <c r="A16" s="28">
        <f>'Snapshot Setup'!$B$4</f>
        <v>46174</v>
      </c>
      <c r="B16" s="26" t="str">
        <f>IF('Snapshot Setup'!B6="","",'Snapshot Setup'!B6)</f>
        <v>Lysol</v>
      </c>
      <c r="C16" s="26" t="b">
        <v>1</v>
      </c>
      <c r="D16" s="26" t="s">
        <v>173</v>
      </c>
      <c r="E16" s="15">
        <f>C7</f>
        <v>47.966666666666676</v>
      </c>
    </row>
    <row r="17" spans="1:5">
      <c r="A17" s="28">
        <f>'Snapshot Setup'!$B$4</f>
        <v>46174</v>
      </c>
      <c r="B17" s="26" t="str">
        <f>IF('Snapshot Setup'!B7="","",'Snapshot Setup'!B7)</f>
        <v>Clorox Portfolio (Clorox, Pine-Sol, Purell)</v>
      </c>
      <c r="C17" s="26" t="b">
        <v>0</v>
      </c>
      <c r="D17" s="26" t="s">
        <v>170</v>
      </c>
      <c r="E17" s="15">
        <f>D4</f>
        <v>71.33</v>
      </c>
    </row>
    <row r="18" spans="1:5">
      <c r="A18" s="28">
        <f>'Snapshot Setup'!$B$4</f>
        <v>46174</v>
      </c>
      <c r="B18" s="26" t="str">
        <f>IF('Snapshot Setup'!B7="","",'Snapshot Setup'!B7)</f>
        <v>Clorox Portfolio (Clorox, Pine-Sol, Purell)</v>
      </c>
      <c r="C18" s="26" t="b">
        <v>0</v>
      </c>
      <c r="D18" s="26" t="s">
        <v>171</v>
      </c>
      <c r="E18" s="15">
        <f>D5</f>
        <v>70.389999999999986</v>
      </c>
    </row>
    <row r="19" spans="1:5">
      <c r="A19" s="28">
        <f>'Snapshot Setup'!$B$4</f>
        <v>46174</v>
      </c>
      <c r="B19" s="26" t="str">
        <f>IF('Snapshot Setup'!B7="","",'Snapshot Setup'!B7)</f>
        <v>Clorox Portfolio (Clorox, Pine-Sol, Purell)</v>
      </c>
      <c r="C19" s="26" t="b">
        <v>0</v>
      </c>
      <c r="D19" s="26" t="s">
        <v>172</v>
      </c>
      <c r="E19" s="15">
        <f>D6</f>
        <v>50.55</v>
      </c>
    </row>
    <row r="20" spans="1:5">
      <c r="A20" s="28">
        <f>'Snapshot Setup'!$B$4</f>
        <v>46174</v>
      </c>
      <c r="B20" s="26" t="str">
        <f>IF('Snapshot Setup'!B7="","",'Snapshot Setup'!B7)</f>
        <v>Clorox Portfolio (Clorox, Pine-Sol, Purell)</v>
      </c>
      <c r="C20" s="26" t="b">
        <v>0</v>
      </c>
      <c r="D20" s="26" t="s">
        <v>173</v>
      </c>
      <c r="E20" s="15">
        <f>D7</f>
        <v>54.800000000000004</v>
      </c>
    </row>
    <row r="21" spans="1:5">
      <c r="A21" s="28">
        <f>'Snapshot Setup'!$B$4</f>
        <v>46174</v>
      </c>
      <c r="B21" s="26" t="str">
        <f>IF('Snapshot Setup'!B8="","",'Snapshot Setup'!B8)</f>
        <v>P&amp;G Home Care (Mr. Clean, Microban 24)</v>
      </c>
      <c r="C21" s="26" t="b">
        <v>0</v>
      </c>
      <c r="D21" s="26" t="s">
        <v>170</v>
      </c>
      <c r="E21" s="15">
        <f>E4</f>
        <v>59.78</v>
      </c>
    </row>
    <row r="22" spans="1:5">
      <c r="A22" s="28">
        <f>'Snapshot Setup'!$B$4</f>
        <v>46174</v>
      </c>
      <c r="B22" s="26" t="str">
        <f>IF('Snapshot Setup'!B8="","",'Snapshot Setup'!B8)</f>
        <v>P&amp;G Home Care (Mr. Clean, Microban 24)</v>
      </c>
      <c r="C22" s="26" t="b">
        <v>0</v>
      </c>
      <c r="D22" s="26" t="s">
        <v>171</v>
      </c>
      <c r="E22" s="15">
        <f>E5</f>
        <v>64.333333333333329</v>
      </c>
    </row>
    <row r="23" spans="1:5">
      <c r="A23" s="28">
        <f>'Snapshot Setup'!$B$4</f>
        <v>46174</v>
      </c>
      <c r="B23" s="26" t="str">
        <f>IF('Snapshot Setup'!B8="","",'Snapshot Setup'!B8)</f>
        <v>P&amp;G Home Care (Mr. Clean, Microban 24)</v>
      </c>
      <c r="C23" s="26" t="b">
        <v>0</v>
      </c>
      <c r="D23" s="26" t="s">
        <v>172</v>
      </c>
      <c r="E23" s="15">
        <f>E6</f>
        <v>49.75</v>
      </c>
    </row>
    <row r="24" spans="1:5">
      <c r="A24" s="28">
        <f>'Snapshot Setup'!$B$4</f>
        <v>46174</v>
      </c>
      <c r="B24" s="26" t="str">
        <f>IF('Snapshot Setup'!B8="","",'Snapshot Setup'!B8)</f>
        <v>P&amp;G Home Care (Mr. Clean, Microban 24)</v>
      </c>
      <c r="C24" s="26" t="b">
        <v>0</v>
      </c>
      <c r="D24" s="26" t="s">
        <v>173</v>
      </c>
      <c r="E24" s="15">
        <f>E7</f>
        <v>50.900000000000006</v>
      </c>
    </row>
    <row r="25" spans="1:5">
      <c r="A25" s="28">
        <f>'Snapshot Setup'!$B$4</f>
        <v>46174</v>
      </c>
      <c r="B25" s="26" t="str">
        <f>IF('Snapshot Setup'!B9="","",'Snapshot Setup'!B9)</f>
        <v>Seventh Generation</v>
      </c>
      <c r="C25" s="26" t="b">
        <v>0</v>
      </c>
      <c r="D25" s="26" t="s">
        <v>170</v>
      </c>
      <c r="E25" s="15">
        <f>F4</f>
        <v>68.45</v>
      </c>
    </row>
    <row r="26" spans="1:5">
      <c r="A26" s="28">
        <f>'Snapshot Setup'!$B$4</f>
        <v>46174</v>
      </c>
      <c r="B26" s="26" t="str">
        <f>IF('Snapshot Setup'!B9="","",'Snapshot Setup'!B9)</f>
        <v>Seventh Generation</v>
      </c>
      <c r="C26" s="26" t="b">
        <v>0</v>
      </c>
      <c r="D26" s="26" t="s">
        <v>171</v>
      </c>
      <c r="E26" s="15">
        <f>F5</f>
        <v>62.896666666666661</v>
      </c>
    </row>
    <row r="27" spans="1:5">
      <c r="A27" s="28">
        <f>'Snapshot Setup'!$B$4</f>
        <v>46174</v>
      </c>
      <c r="B27" s="26" t="str">
        <f>IF('Snapshot Setup'!B9="","",'Snapshot Setup'!B9)</f>
        <v>Seventh Generation</v>
      </c>
      <c r="C27" s="26" t="b">
        <v>0</v>
      </c>
      <c r="D27" s="26" t="s">
        <v>172</v>
      </c>
      <c r="E27" s="15">
        <f>F6</f>
        <v>51.7</v>
      </c>
    </row>
    <row r="28" spans="1:5">
      <c r="A28" s="28">
        <f>'Snapshot Setup'!$B$4</f>
        <v>46174</v>
      </c>
      <c r="B28" s="26" t="str">
        <f>IF('Snapshot Setup'!B9="","",'Snapshot Setup'!B9)</f>
        <v>Seventh Generation</v>
      </c>
      <c r="C28" s="26" t="b">
        <v>0</v>
      </c>
      <c r="D28" s="26" t="s">
        <v>173</v>
      </c>
      <c r="E28" s="15">
        <f>F7</f>
        <v>50.800000000000004</v>
      </c>
    </row>
  </sheetData>
  <mergeCells count="2">
    <mergeCell ref="A1:I1"/>
    <mergeCell ref="A11:J11"/>
  </mergeCells>
  <conditionalFormatting sqref="C4:I7">
    <cfRule type="colorScale" priority="1">
      <colorScale>
        <cfvo type="num" val="0"/>
        <cfvo type="num" val="50"/>
        <cfvo type="num" val="100"/>
        <color rgb="FFE85D5D"/>
        <color rgb="FFFFEB99"/>
        <color rgb="FF7BC97B"/>
      </colorScale>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0"/>
  <sheetViews>
    <sheetView workbookViewId="0">
      <selection sqref="A1:F1"/>
    </sheetView>
  </sheetViews>
  <sheetFormatPr defaultColWidth="8.85546875" defaultRowHeight="15"/>
  <cols>
    <col min="1" max="1" width="26" customWidth="1"/>
    <col min="2" max="2" width="18" customWidth="1"/>
    <col min="3" max="4" width="16" customWidth="1"/>
    <col min="5" max="5" width="26" customWidth="1"/>
    <col min="6" max="6" width="28" customWidth="1"/>
  </cols>
  <sheetData>
    <row r="1" spans="1:6" ht="27.95" customHeight="1">
      <c r="A1" s="80" t="s">
        <v>1059</v>
      </c>
      <c r="B1" s="81"/>
      <c r="C1" s="81"/>
      <c r="D1" s="81"/>
      <c r="E1" s="81"/>
      <c r="F1" s="81"/>
    </row>
    <row r="3" spans="1:6">
      <c r="A3" s="10" t="s">
        <v>1060</v>
      </c>
      <c r="B3" s="29" t="str">
        <f>'Snapshot Setup'!B5</f>
        <v>CPG/Household Brand</v>
      </c>
    </row>
    <row r="5" spans="1:6">
      <c r="A5" s="9" t="s">
        <v>1061</v>
      </c>
      <c r="B5" s="9" t="s">
        <v>1062</v>
      </c>
      <c r="C5" s="9" t="s">
        <v>170</v>
      </c>
      <c r="D5" s="9" t="s">
        <v>171</v>
      </c>
      <c r="E5" s="9" t="s">
        <v>172</v>
      </c>
      <c r="F5" s="9" t="s">
        <v>173</v>
      </c>
    </row>
    <row r="6" spans="1:6">
      <c r="A6" s="10" t="str">
        <f>IF('Snapshot Setup'!B6="","",'Snapshot Setup'!B6)</f>
        <v>Lysol</v>
      </c>
      <c r="B6" s="30">
        <f>IFERROR((IFERROR(C6*INDEX('Snapshot Setup'!B20:B24,MATCH('Snapshot Setup'!$B$5,'Snapshot Setup'!$A$20:$A$24,0)),0) + IFERROR(D6*INDEX('Snapshot Setup'!C20:C24,MATCH('Snapshot Setup'!$B$5,'Snapshot Setup'!$A$20:$A$24,0)),0) + IFERROR(E6*INDEX('Snapshot Setup'!D20:D24,MATCH('Snapshot Setup'!$B$5,'Snapshot Setup'!$A$20:$A$24,0)),0) + IFERROR(F6*INDEX('Snapshot Setup'!E20:E24,MATCH('Snapshot Setup'!$B$5,'Snapshot Setup'!$A$20:$A$24,0)),0))/(IF(ISNUMBER(C6),INDEX('Snapshot Setup'!B20:B24,MATCH('Snapshot Setup'!$B$5,'Snapshot Setup'!$A$20:$A$24,0)),0) + IF(ISNUMBER(D6),INDEX('Snapshot Setup'!C20:C24,MATCH('Snapshot Setup'!$B$5,'Snapshot Setup'!$A$20:$A$24,0)),0) + IF(ISNUMBER(E6),INDEX('Snapshot Setup'!D20:D24,MATCH('Snapshot Setup'!$B$5,'Snapshot Setup'!$A$20:$A$24,0)),0) + IF(ISNUMBER(F6),INDEX('Snapshot Setup'!E20:E24,MATCH('Snapshot Setup'!$B$5,'Snapshot Setup'!$A$20:$A$24,0)),0)),"")</f>
        <v>50.527400000000007</v>
      </c>
      <c r="C6" s="27">
        <f>'Computed — Dim Scores'!C4</f>
        <v>54.55</v>
      </c>
      <c r="D6" s="27">
        <f>'Computed — Dim Scores'!C5</f>
        <v>56.97</v>
      </c>
      <c r="E6" s="27">
        <f>'Computed — Dim Scores'!C6</f>
        <v>42</v>
      </c>
      <c r="F6" s="27">
        <f>'Computed — Dim Scores'!C7</f>
        <v>47.966666666666676</v>
      </c>
    </row>
    <row r="7" spans="1:6">
      <c r="A7" s="10" t="str">
        <f>IF('Snapshot Setup'!B7="","",'Snapshot Setup'!B7)</f>
        <v>Clorox Portfolio (Clorox, Pine-Sol, Purell)</v>
      </c>
      <c r="B7" s="30">
        <f>IFERROR((IFERROR(C7*INDEX('Snapshot Setup'!B20:B24,MATCH('Snapshot Setup'!$B$5,'Snapshot Setup'!$A$20:$A$24,0)),0) + IFERROR(D7*INDEX('Snapshot Setup'!C20:C24,MATCH('Snapshot Setup'!$B$5,'Snapshot Setup'!$A$20:$A$24,0)),0) + IFERROR(E7*INDEX('Snapshot Setup'!D20:D24,MATCH('Snapshot Setup'!$B$5,'Snapshot Setup'!$A$20:$A$24,0)),0) + IFERROR(F7*INDEX('Snapshot Setup'!E20:E24,MATCH('Snapshot Setup'!$B$5,'Snapshot Setup'!$A$20:$A$24,0)),0))/(IF(ISNUMBER(C7),INDEX('Snapshot Setup'!B20:B24,MATCH('Snapshot Setup'!$B$5,'Snapshot Setup'!$A$20:$A$24,0)),0) + IF(ISNUMBER(D7),INDEX('Snapshot Setup'!C20:C24,MATCH('Snapshot Setup'!$B$5,'Snapshot Setup'!$A$20:$A$24,0)),0) + IF(ISNUMBER(E7),INDEX('Snapshot Setup'!D20:D24,MATCH('Snapshot Setup'!$B$5,'Snapshot Setup'!$A$20:$A$24,0)),0) + IF(ISNUMBER(F7),INDEX('Snapshot Setup'!E20:E24,MATCH('Snapshot Setup'!$B$5,'Snapshot Setup'!$A$20:$A$24,0)),0)),"")</f>
        <v>62.9056</v>
      </c>
      <c r="C7" s="27">
        <f>'Computed — Dim Scores'!D4</f>
        <v>71.33</v>
      </c>
      <c r="D7" s="27">
        <f>'Computed — Dim Scores'!D5</f>
        <v>70.389999999999986</v>
      </c>
      <c r="E7" s="27">
        <f>'Computed — Dim Scores'!D6</f>
        <v>50.55</v>
      </c>
      <c r="F7" s="27">
        <f>'Computed — Dim Scores'!D7</f>
        <v>54.800000000000004</v>
      </c>
    </row>
    <row r="8" spans="1:6">
      <c r="A8" s="10" t="str">
        <f>IF('Snapshot Setup'!B8="","",'Snapshot Setup'!B8)</f>
        <v>P&amp;G Home Care (Mr. Clean, Microban 24)</v>
      </c>
      <c r="B8" s="30">
        <f>IFERROR((IFERROR(C8*INDEX('Snapshot Setup'!B20:B24,MATCH('Snapshot Setup'!$B$5,'Snapshot Setup'!$A$20:$A$24,0)),0) + IFERROR(D8*INDEX('Snapshot Setup'!C20:C24,MATCH('Snapshot Setup'!$B$5,'Snapshot Setup'!$A$20:$A$24,0)),0) + IFERROR(E8*INDEX('Snapshot Setup'!D20:D24,MATCH('Snapshot Setup'!$B$5,'Snapshot Setup'!$A$20:$A$24,0)),0) + IFERROR(F8*INDEX('Snapshot Setup'!E20:E24,MATCH('Snapshot Setup'!$B$5,'Snapshot Setup'!$A$20:$A$24,0)),0))/(IF(ISNUMBER(C8),INDEX('Snapshot Setup'!B20:B24,MATCH('Snapshot Setup'!$B$5,'Snapshot Setup'!$A$20:$A$24,0)),0) + IF(ISNUMBER(D8),INDEX('Snapshot Setup'!C20:C24,MATCH('Snapshot Setup'!$B$5,'Snapshot Setup'!$A$20:$A$24,0)),0) + IF(ISNUMBER(E8),INDEX('Snapshot Setup'!D20:D24,MATCH('Snapshot Setup'!$B$5,'Snapshot Setup'!$A$20:$A$24,0)),0) + IF(ISNUMBER(F8),INDEX('Snapshot Setup'!E20:E24,MATCH('Snapshot Setup'!$B$5,'Snapshot Setup'!$A$20:$A$24,0)),0)),"")</f>
        <v>56.707133333333338</v>
      </c>
      <c r="C8" s="27">
        <f>'Computed — Dim Scores'!E4</f>
        <v>59.78</v>
      </c>
      <c r="D8" s="27">
        <f>'Computed — Dim Scores'!E5</f>
        <v>64.333333333333329</v>
      </c>
      <c r="E8" s="27">
        <f>'Computed — Dim Scores'!E6</f>
        <v>49.75</v>
      </c>
      <c r="F8" s="27">
        <f>'Computed — Dim Scores'!E7</f>
        <v>50.900000000000006</v>
      </c>
    </row>
    <row r="9" spans="1:6">
      <c r="A9" s="10" t="str">
        <f>IF('Snapshot Setup'!B9="","",'Snapshot Setup'!B9)</f>
        <v>Seventh Generation</v>
      </c>
      <c r="B9" s="30">
        <f>IFERROR((IFERROR(C9*INDEX('Snapshot Setup'!B20:B24,MATCH('Snapshot Setup'!$B$5,'Snapshot Setup'!$A$20:$A$24,0)),0) + IFERROR(D9*INDEX('Snapshot Setup'!C20:C24,MATCH('Snapshot Setup'!$B$5,'Snapshot Setup'!$A$20:$A$24,0)),0) + IFERROR(E9*INDEX('Snapshot Setup'!D20:D24,MATCH('Snapshot Setup'!$B$5,'Snapshot Setup'!$A$20:$A$24,0)),0) + IFERROR(F9*INDEX('Snapshot Setup'!E20:E24,MATCH('Snapshot Setup'!$B$5,'Snapshot Setup'!$A$20:$A$24,0)),0))/(IF(ISNUMBER(C9),INDEX('Snapshot Setup'!B20:B24,MATCH('Snapshot Setup'!$B$5,'Snapshot Setup'!$A$20:$A$24,0)),0) + IF(ISNUMBER(D9),INDEX('Snapshot Setup'!C20:C24,MATCH('Snapshot Setup'!$B$5,'Snapshot Setup'!$A$20:$A$24,0)),0) + IF(ISNUMBER(E9),INDEX('Snapshot Setup'!D20:D24,MATCH('Snapshot Setup'!$B$5,'Snapshot Setup'!$A$20:$A$24,0)),0) + IF(ISNUMBER(F9),INDEX('Snapshot Setup'!E20:E24,MATCH('Snapshot Setup'!$B$5,'Snapshot Setup'!$A$20:$A$24,0)),0)),"")</f>
        <v>60.085266666666676</v>
      </c>
      <c r="C9" s="27">
        <f>'Computed — Dim Scores'!F4</f>
        <v>68.45</v>
      </c>
      <c r="D9" s="27">
        <f>'Computed — Dim Scores'!F5</f>
        <v>62.896666666666661</v>
      </c>
      <c r="E9" s="27">
        <f>'Computed — Dim Scores'!F6</f>
        <v>51.7</v>
      </c>
      <c r="F9" s="27">
        <f>'Computed — Dim Scores'!F7</f>
        <v>50.800000000000004</v>
      </c>
    </row>
    <row r="12" spans="1:6" ht="15.95" customHeight="1">
      <c r="A12" s="39" t="s">
        <v>1063</v>
      </c>
    </row>
    <row r="13" spans="1:6">
      <c r="A13" s="14" t="s">
        <v>1049</v>
      </c>
      <c r="B13" s="14" t="s">
        <v>1050</v>
      </c>
      <c r="C13" s="14" t="s">
        <v>1051</v>
      </c>
      <c r="D13" s="14" t="s">
        <v>1064</v>
      </c>
      <c r="E13" s="14" t="s">
        <v>1065</v>
      </c>
    </row>
    <row r="14" spans="1:6">
      <c r="A14" s="28">
        <f>'Snapshot Setup'!$B$4</f>
        <v>46174</v>
      </c>
      <c r="B14" s="26" t="str">
        <f>IF('Snapshot Setup'!B6="","",'Snapshot Setup'!B6)</f>
        <v>Lysol</v>
      </c>
      <c r="C14" s="26" t="b">
        <v>1</v>
      </c>
      <c r="D14" s="15">
        <f>B6</f>
        <v>50.527400000000007</v>
      </c>
      <c r="E14" s="26" t="str">
        <f>'Snapshot Setup'!$B$5</f>
        <v>CPG/Household Brand</v>
      </c>
    </row>
    <row r="15" spans="1:6" ht="15.95" customHeight="1">
      <c r="A15" s="84">
        <f>'Snapshot Setup'!$B$4</f>
        <v>46174</v>
      </c>
      <c r="B15" s="81"/>
      <c r="C15" s="81"/>
      <c r="D15" s="81"/>
      <c r="E15" s="81"/>
      <c r="F15" s="81"/>
    </row>
    <row r="16" spans="1:6">
      <c r="A16" s="28">
        <f>'Snapshot Setup'!$B$4</f>
        <v>46174</v>
      </c>
      <c r="B16" s="26" t="str">
        <f>IF('Snapshot Setup'!B8="","",'Snapshot Setup'!B8)</f>
        <v>P&amp;G Home Care (Mr. Clean, Microban 24)</v>
      </c>
      <c r="C16" s="26" t="b">
        <v>0</v>
      </c>
      <c r="D16" s="15">
        <f>B8</f>
        <v>56.707133333333338</v>
      </c>
      <c r="E16" s="26" t="str">
        <f>'Snapshot Setup'!$B$5</f>
        <v>CPG/Household Brand</v>
      </c>
    </row>
    <row r="17" spans="1:5">
      <c r="A17" s="28">
        <f>'Snapshot Setup'!$B$4</f>
        <v>46174</v>
      </c>
      <c r="B17" s="26" t="str">
        <f>IF('Snapshot Setup'!B9="","",'Snapshot Setup'!B9)</f>
        <v>Seventh Generation</v>
      </c>
      <c r="C17" s="26" t="b">
        <v>0</v>
      </c>
      <c r="D17" s="15">
        <f>B9</f>
        <v>60.085266666666676</v>
      </c>
      <c r="E17" s="26" t="str">
        <f>'Snapshot Setup'!$B$5</f>
        <v>CPG/Household Brand</v>
      </c>
    </row>
    <row r="18" spans="1:5">
      <c r="A18" s="28">
        <f>'Snapshot Setup'!$B$4</f>
        <v>46174</v>
      </c>
      <c r="B18" s="26" t="str">
        <f>IF('Snapshot Setup'!B10="","",'Snapshot Setup'!B10)</f>
        <v/>
      </c>
      <c r="C18" s="26" t="b">
        <v>0</v>
      </c>
      <c r="D18" s="15">
        <f>B10</f>
        <v>0</v>
      </c>
      <c r="E18" s="26" t="str">
        <f>'Snapshot Setup'!$B$5</f>
        <v>CPG/Household Brand</v>
      </c>
    </row>
    <row r="19" spans="1:5">
      <c r="A19" s="28">
        <f>'Snapshot Setup'!$B$4</f>
        <v>46174</v>
      </c>
      <c r="B19" s="26" t="str">
        <f>IF('Snapshot Setup'!B11="","",'Snapshot Setup'!B11)</f>
        <v/>
      </c>
      <c r="C19" s="26" t="b">
        <v>0</v>
      </c>
      <c r="D19" s="15">
        <f>B11</f>
        <v>0</v>
      </c>
      <c r="E19" s="26" t="str">
        <f>'Snapshot Setup'!$B$5</f>
        <v>CPG/Household Brand</v>
      </c>
    </row>
    <row r="20" spans="1:5">
      <c r="A20" s="28">
        <f>'Snapshot Setup'!$B$4</f>
        <v>46174</v>
      </c>
      <c r="B20" s="26" t="str">
        <f>IF('Snapshot Setup'!B12="","",'Snapshot Setup'!B12)</f>
        <v/>
      </c>
      <c r="C20" s="26" t="b">
        <v>0</v>
      </c>
      <c r="D20" s="15">
        <f>B12</f>
        <v>0</v>
      </c>
      <c r="E20" s="26" t="str">
        <f>'Snapshot Setup'!$B$5</f>
        <v>CPG/Household Brand</v>
      </c>
    </row>
  </sheetData>
  <mergeCells count="2">
    <mergeCell ref="A1:F1"/>
    <mergeCell ref="A15:F15"/>
  </mergeCells>
  <conditionalFormatting sqref="B6:B12">
    <cfRule type="colorScale" priority="1">
      <colorScale>
        <cfvo type="num" val="0"/>
        <cfvo type="num" val="50"/>
        <cfvo type="num" val="100"/>
        <color rgb="FFE85D5D"/>
        <color rgb="FFFFEB99"/>
        <color rgb="FF7BC97B"/>
      </colorScale>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75"/>
  <sheetViews>
    <sheetView workbookViewId="0">
      <pane ySplit="3" topLeftCell="A4" activePane="bottomLeft" state="frozen"/>
      <selection pane="bottomLeft" activeCell="H21" sqref="H21"/>
    </sheetView>
  </sheetViews>
  <sheetFormatPr defaultColWidth="8.85546875" defaultRowHeight="15"/>
  <cols>
    <col min="1" max="1" width="12" customWidth="1"/>
    <col min="2" max="2" width="22" customWidth="1"/>
    <col min="3" max="3" width="11" customWidth="1"/>
    <col min="4" max="4" width="18" customWidth="1"/>
    <col min="5" max="5" width="44" customWidth="1"/>
    <col min="6" max="6" width="32" customWidth="1"/>
    <col min="7" max="7" width="38" customWidth="1"/>
    <col min="8" max="8" width="12" customWidth="1"/>
  </cols>
  <sheetData>
    <row r="1" spans="1:8" ht="27.95" customHeight="1">
      <c r="A1" s="80" t="s">
        <v>1066</v>
      </c>
      <c r="B1" s="81"/>
      <c r="C1" s="81"/>
      <c r="D1" s="81"/>
      <c r="E1" s="81"/>
      <c r="F1" s="81"/>
      <c r="G1" s="81"/>
      <c r="H1" s="81"/>
    </row>
    <row r="2" spans="1:8" ht="15.95" customHeight="1">
      <c r="A2" s="83" t="s">
        <v>1067</v>
      </c>
      <c r="B2" s="81"/>
      <c r="C2" s="81"/>
      <c r="D2" s="81"/>
      <c r="E2" s="81"/>
      <c r="F2" s="81"/>
      <c r="G2" s="81"/>
      <c r="H2" s="81"/>
    </row>
    <row r="3" spans="1:8">
      <c r="A3" s="9" t="s">
        <v>1049</v>
      </c>
      <c r="B3" s="9" t="s">
        <v>1050</v>
      </c>
      <c r="C3" s="9" t="s">
        <v>1051</v>
      </c>
      <c r="D3" s="9" t="s">
        <v>1068</v>
      </c>
      <c r="E3" s="9" t="s">
        <v>1069</v>
      </c>
      <c r="F3" s="9" t="s">
        <v>1052</v>
      </c>
      <c r="G3" s="9" t="s">
        <v>1054</v>
      </c>
      <c r="H3" s="9" t="s">
        <v>1055</v>
      </c>
    </row>
    <row r="4" spans="1:8">
      <c r="A4" s="28">
        <f>'Snapshot Setup'!$B$4</f>
        <v>46174</v>
      </c>
      <c r="B4" s="26" t="str">
        <f>IF('Snapshot Setup'!B6="","",'Snapshot Setup'!B6)</f>
        <v>Lysol</v>
      </c>
      <c r="C4" s="26" t="b">
        <v>1</v>
      </c>
      <c r="D4" s="26" t="s">
        <v>191</v>
      </c>
      <c r="E4" s="26" t="s">
        <v>192</v>
      </c>
      <c r="F4" s="26" t="s">
        <v>171</v>
      </c>
      <c r="G4" s="26" t="s">
        <v>194</v>
      </c>
      <c r="H4" s="15">
        <f>IFERROR(IF(ISNUMBER('Score — Lysol'!E4),'Score — Lysol'!E4,""),"")</f>
        <v>42</v>
      </c>
    </row>
    <row r="5" spans="1:8">
      <c r="A5" s="28">
        <f>'Snapshot Setup'!$B$4</f>
        <v>46174</v>
      </c>
      <c r="B5" s="26" t="str">
        <f>IF('Snapshot Setup'!B6="","",'Snapshot Setup'!B6)</f>
        <v>Lysol</v>
      </c>
      <c r="C5" s="26" t="b">
        <v>1</v>
      </c>
      <c r="D5" s="26" t="s">
        <v>191</v>
      </c>
      <c r="E5" s="26" t="s">
        <v>199</v>
      </c>
      <c r="F5" s="26" t="s">
        <v>171</v>
      </c>
      <c r="G5" s="26" t="s">
        <v>194</v>
      </c>
      <c r="H5" s="15">
        <f>IFERROR(IF(ISNUMBER('Score — Lysol'!E5),'Score — Lysol'!E5,""),"")</f>
        <v>24</v>
      </c>
    </row>
    <row r="6" spans="1:8">
      <c r="A6" s="28">
        <f>'Snapshot Setup'!$B$4</f>
        <v>46174</v>
      </c>
      <c r="B6" s="26" t="str">
        <f>IF('Snapshot Setup'!B6="","",'Snapshot Setup'!B6)</f>
        <v>Lysol</v>
      </c>
      <c r="C6" s="26" t="b">
        <v>1</v>
      </c>
      <c r="D6" s="26" t="s">
        <v>191</v>
      </c>
      <c r="E6" s="26" t="s">
        <v>204</v>
      </c>
      <c r="F6" s="26" t="s">
        <v>171</v>
      </c>
      <c r="G6" s="26" t="s">
        <v>194</v>
      </c>
      <c r="H6" s="15">
        <f>IFERROR(IF(ISNUMBER('Score — Lysol'!E6),'Score — Lysol'!E6,""),"")</f>
        <v>84</v>
      </c>
    </row>
    <row r="7" spans="1:8">
      <c r="A7" s="28">
        <f>'Snapshot Setup'!$B$4</f>
        <v>46174</v>
      </c>
      <c r="B7" s="26" t="str">
        <f>IF('Snapshot Setup'!B6="","",'Snapshot Setup'!B6)</f>
        <v>Lysol</v>
      </c>
      <c r="C7" s="26" t="b">
        <v>1</v>
      </c>
      <c r="D7" s="26" t="s">
        <v>191</v>
      </c>
      <c r="E7" s="26" t="s">
        <v>209</v>
      </c>
      <c r="F7" s="26" t="s">
        <v>171</v>
      </c>
      <c r="G7" s="26" t="s">
        <v>194</v>
      </c>
      <c r="H7" s="15">
        <f>IFERROR(IF(ISNUMBER('Score — Lysol'!E7),'Score — Lysol'!E7,""),"")</f>
        <v>86</v>
      </c>
    </row>
    <row r="8" spans="1:8">
      <c r="A8" s="28">
        <f>'Snapshot Setup'!$B$4</f>
        <v>46174</v>
      </c>
      <c r="B8" s="26" t="str">
        <f>IF('Snapshot Setup'!B6="","",'Snapshot Setup'!B6)</f>
        <v>Lysol</v>
      </c>
      <c r="C8" s="26" t="b">
        <v>1</v>
      </c>
      <c r="D8" s="26" t="s">
        <v>191</v>
      </c>
      <c r="E8" s="26" t="s">
        <v>214</v>
      </c>
      <c r="F8" s="26" t="s">
        <v>171</v>
      </c>
      <c r="G8" s="26" t="s">
        <v>194</v>
      </c>
      <c r="H8" s="15">
        <f>IFERROR(IF(ISNUMBER('Score — Lysol'!E8),'Score — Lysol'!E8,""),"")</f>
        <v>95</v>
      </c>
    </row>
    <row r="9" spans="1:8">
      <c r="A9" s="28">
        <f>'Snapshot Setup'!$B$4</f>
        <v>46174</v>
      </c>
      <c r="B9" s="26" t="str">
        <f>IF('Snapshot Setup'!B6="","",'Snapshot Setup'!B6)</f>
        <v>Lysol</v>
      </c>
      <c r="C9" s="26" t="b">
        <v>1</v>
      </c>
      <c r="D9" s="26" t="s">
        <v>191</v>
      </c>
      <c r="E9" s="26" t="s">
        <v>219</v>
      </c>
      <c r="F9" s="26" t="s">
        <v>171</v>
      </c>
      <c r="G9" s="26" t="s">
        <v>194</v>
      </c>
      <c r="H9" s="15">
        <f>IFERROR(IF(ISNUMBER('Score — Lysol'!E9),'Score — Lysol'!E9,""),"")</f>
        <v>22</v>
      </c>
    </row>
    <row r="10" spans="1:8">
      <c r="A10" s="28">
        <f>'Snapshot Setup'!$B$4</f>
        <v>46174</v>
      </c>
      <c r="B10" s="26" t="str">
        <f>IF('Snapshot Setup'!B6="","",'Snapshot Setup'!B6)</f>
        <v>Lysol</v>
      </c>
      <c r="C10" s="26" t="b">
        <v>1</v>
      </c>
      <c r="D10" s="26" t="s">
        <v>191</v>
      </c>
      <c r="E10" s="26" t="s">
        <v>223</v>
      </c>
      <c r="F10" s="26" t="s">
        <v>173</v>
      </c>
      <c r="G10" s="26" t="s">
        <v>224</v>
      </c>
      <c r="H10" s="15">
        <f>IFERROR(IF(ISNUMBER('Score — Lysol'!E10),'Score — Lysol'!E10,""),"")</f>
        <v>64</v>
      </c>
    </row>
    <row r="11" spans="1:8">
      <c r="A11" s="28">
        <f>'Snapshot Setup'!$B$4</f>
        <v>46174</v>
      </c>
      <c r="B11" s="26" t="str">
        <f>IF('Snapshot Setup'!B6="","",'Snapshot Setup'!B6)</f>
        <v>Lysol</v>
      </c>
      <c r="C11" s="26" t="b">
        <v>1</v>
      </c>
      <c r="D11" s="26" t="s">
        <v>191</v>
      </c>
      <c r="E11" s="26" t="s">
        <v>230</v>
      </c>
      <c r="F11" s="26" t="s">
        <v>171</v>
      </c>
      <c r="G11" s="26" t="s">
        <v>231</v>
      </c>
      <c r="H11" s="15">
        <f>IFERROR(IF(ISNUMBER('Score — Lysol'!E11),'Score — Lysol'!E11,""),"")</f>
        <v>68</v>
      </c>
    </row>
    <row r="12" spans="1:8">
      <c r="A12" s="28">
        <f>'Snapshot Setup'!$B$4</f>
        <v>46174</v>
      </c>
      <c r="B12" s="26" t="str">
        <f>IF('Snapshot Setup'!B6="","",'Snapshot Setup'!B6)</f>
        <v>Lysol</v>
      </c>
      <c r="C12" s="26" t="b">
        <v>1</v>
      </c>
      <c r="D12" s="26" t="s">
        <v>191</v>
      </c>
      <c r="E12" s="26" t="s">
        <v>236</v>
      </c>
      <c r="F12" s="26" t="s">
        <v>171</v>
      </c>
      <c r="G12" s="26" t="s">
        <v>231</v>
      </c>
      <c r="H12" s="15" t="str">
        <f>IFERROR(IF(ISNUMBER('Score — Lysol'!E12),'Score — Lysol'!E12,""),"")</f>
        <v/>
      </c>
    </row>
    <row r="13" spans="1:8">
      <c r="A13" s="28">
        <f>'Snapshot Setup'!$B$4</f>
        <v>46174</v>
      </c>
      <c r="B13" s="26" t="str">
        <f>IF('Snapshot Setup'!B6="","",'Snapshot Setup'!B6)</f>
        <v>Lysol</v>
      </c>
      <c r="C13" s="26" t="b">
        <v>1</v>
      </c>
      <c r="D13" s="26" t="s">
        <v>191</v>
      </c>
      <c r="E13" s="26" t="s">
        <v>240</v>
      </c>
      <c r="F13" s="26" t="s">
        <v>173</v>
      </c>
      <c r="G13" s="26" t="s">
        <v>241</v>
      </c>
      <c r="H13" s="15">
        <f>IFERROR(IF(ISNUMBER('Score — Lysol'!E13),'Score — Lysol'!E13,""),"")</f>
        <v>56</v>
      </c>
    </row>
    <row r="14" spans="1:8">
      <c r="A14" s="28">
        <f>'Snapshot Setup'!$B$4</f>
        <v>46174</v>
      </c>
      <c r="B14" s="26" t="str">
        <f>IF('Snapshot Setup'!B6="","",'Snapshot Setup'!B6)</f>
        <v>Lysol</v>
      </c>
      <c r="C14" s="26" t="b">
        <v>1</v>
      </c>
      <c r="D14" s="26" t="s">
        <v>191</v>
      </c>
      <c r="E14" s="26" t="s">
        <v>246</v>
      </c>
      <c r="F14" s="26" t="s">
        <v>171</v>
      </c>
      <c r="G14" s="26" t="s">
        <v>231</v>
      </c>
      <c r="H14" s="15">
        <f>IFERROR(IF(ISNUMBER('Score — Lysol'!E14),'Score — Lysol'!E14,""),"")</f>
        <v>54</v>
      </c>
    </row>
    <row r="15" spans="1:8">
      <c r="A15" s="28">
        <f>'Snapshot Setup'!$B$4</f>
        <v>46174</v>
      </c>
      <c r="B15" s="26" t="str">
        <f>IF('Snapshot Setup'!B6="","",'Snapshot Setup'!B6)</f>
        <v>Lysol</v>
      </c>
      <c r="C15" s="26" t="b">
        <v>1</v>
      </c>
      <c r="D15" s="26" t="s">
        <v>191</v>
      </c>
      <c r="E15" s="26" t="s">
        <v>250</v>
      </c>
      <c r="F15" s="26" t="s">
        <v>171</v>
      </c>
      <c r="G15" s="26" t="s">
        <v>251</v>
      </c>
      <c r="H15" s="15">
        <f>IFERROR(IF(ISNUMBER('Score — Lysol'!E15),'Score — Lysol'!E15,""),"")</f>
        <v>68</v>
      </c>
    </row>
    <row r="16" spans="1:8">
      <c r="A16" s="28">
        <f>'Snapshot Setup'!$B$4</f>
        <v>46174</v>
      </c>
      <c r="B16" s="26" t="str">
        <f>IF('Snapshot Setup'!B6="","",'Snapshot Setup'!B6)</f>
        <v>Lysol</v>
      </c>
      <c r="C16" s="26" t="b">
        <v>1</v>
      </c>
      <c r="D16" s="26" t="s">
        <v>191</v>
      </c>
      <c r="E16" s="26" t="s">
        <v>256</v>
      </c>
      <c r="F16" s="26" t="s">
        <v>173</v>
      </c>
      <c r="G16" s="26" t="s">
        <v>241</v>
      </c>
      <c r="H16" s="15">
        <f>IFERROR(IF(ISNUMBER('Score — Lysol'!E16),'Score — Lysol'!E16,""),"")</f>
        <v>66</v>
      </c>
    </row>
    <row r="17" spans="1:8">
      <c r="A17" s="28">
        <f>'Snapshot Setup'!$B$4</f>
        <v>46174</v>
      </c>
      <c r="B17" s="26" t="str">
        <f>IF('Snapshot Setup'!B6="","",'Snapshot Setup'!B6)</f>
        <v>Lysol</v>
      </c>
      <c r="C17" s="26" t="b">
        <v>1</v>
      </c>
      <c r="D17" s="26" t="s">
        <v>191</v>
      </c>
      <c r="E17" s="26" t="s">
        <v>261</v>
      </c>
      <c r="F17" s="26" t="s">
        <v>263</v>
      </c>
      <c r="G17" s="26" t="s">
        <v>263</v>
      </c>
      <c r="H17" s="15" t="str">
        <f>IFERROR(IF(ISNUMBER('Score — Lysol'!E17),'Score — Lysol'!E17,""),"")</f>
        <v/>
      </c>
    </row>
    <row r="18" spans="1:8">
      <c r="A18" s="28">
        <f>'Snapshot Setup'!$B$4</f>
        <v>46174</v>
      </c>
      <c r="B18" s="26" t="str">
        <f>IF('Snapshot Setup'!B6="","",'Snapshot Setup'!B6)</f>
        <v>Lysol</v>
      </c>
      <c r="C18" s="26" t="b">
        <v>1</v>
      </c>
      <c r="D18" s="26" t="s">
        <v>191</v>
      </c>
      <c r="E18" s="26" t="s">
        <v>267</v>
      </c>
      <c r="F18" s="26" t="s">
        <v>263</v>
      </c>
      <c r="G18" s="26" t="s">
        <v>263</v>
      </c>
      <c r="H18" s="15" t="str">
        <f>IFERROR(IF(ISNUMBER('Score — Lysol'!E18),'Score — Lysol'!E18,""),"")</f>
        <v/>
      </c>
    </row>
    <row r="19" spans="1:8">
      <c r="A19" s="28">
        <f>'Snapshot Setup'!$B$4</f>
        <v>46174</v>
      </c>
      <c r="B19" s="26" t="str">
        <f>IF('Snapshot Setup'!B6="","",'Snapshot Setup'!B6)</f>
        <v>Lysol</v>
      </c>
      <c r="C19" s="26" t="b">
        <v>1</v>
      </c>
      <c r="D19" s="26" t="s">
        <v>191</v>
      </c>
      <c r="E19" s="26" t="s">
        <v>272</v>
      </c>
      <c r="F19" s="26" t="s">
        <v>173</v>
      </c>
      <c r="G19" s="26" t="s">
        <v>273</v>
      </c>
      <c r="H19" s="15">
        <f>IFERROR(IF(ISNUMBER('Score — Lysol'!E19),'Score — Lysol'!E19,""),"")</f>
        <v>62</v>
      </c>
    </row>
    <row r="20" spans="1:8">
      <c r="A20" s="28">
        <f>'Snapshot Setup'!$B$4</f>
        <v>46174</v>
      </c>
      <c r="B20" s="26" t="str">
        <f>IF('Snapshot Setup'!B6="","",'Snapshot Setup'!B6)</f>
        <v>Lysol</v>
      </c>
      <c r="C20" s="26" t="b">
        <v>1</v>
      </c>
      <c r="D20" s="26" t="s">
        <v>191</v>
      </c>
      <c r="E20" s="26" t="s">
        <v>277</v>
      </c>
      <c r="F20" s="26" t="s">
        <v>173</v>
      </c>
      <c r="G20" s="26" t="s">
        <v>278</v>
      </c>
      <c r="H20" s="15">
        <f>IFERROR(IF(ISNUMBER('Score — Lysol'!E20),'Score — Lysol'!E20,""),"")</f>
        <v>54</v>
      </c>
    </row>
    <row r="21" spans="1:8">
      <c r="A21" s="28">
        <f>'Snapshot Setup'!$B$4</f>
        <v>46174</v>
      </c>
      <c r="B21" s="26" t="str">
        <f>IF('Snapshot Setup'!B6="","",'Snapshot Setup'!B6)</f>
        <v>Lysol</v>
      </c>
      <c r="C21" s="26" t="b">
        <v>1</v>
      </c>
      <c r="D21" s="26" t="s">
        <v>191</v>
      </c>
      <c r="E21" s="26" t="s">
        <v>283</v>
      </c>
      <c r="F21" s="26" t="s">
        <v>170</v>
      </c>
      <c r="G21" s="26" t="s">
        <v>284</v>
      </c>
      <c r="H21" s="15">
        <f>IFERROR(IF(ISNUMBER('Score — Lysol'!E21),'Score — Lysol'!E21,""),"")</f>
        <v>66</v>
      </c>
    </row>
    <row r="22" spans="1:8">
      <c r="A22" s="28">
        <f>'Snapshot Setup'!$B$4</f>
        <v>46174</v>
      </c>
      <c r="B22" s="26" t="str">
        <f>IF('Snapshot Setup'!B6="","",'Snapshot Setup'!B6)</f>
        <v>Lysol</v>
      </c>
      <c r="C22" s="26" t="b">
        <v>1</v>
      </c>
      <c r="D22" s="26" t="s">
        <v>191</v>
      </c>
      <c r="E22" s="26" t="s">
        <v>288</v>
      </c>
      <c r="F22" s="26" t="s">
        <v>170</v>
      </c>
      <c r="G22" s="26" t="s">
        <v>284</v>
      </c>
      <c r="H22" s="15">
        <f>IFERROR(IF(ISNUMBER('Score — Lysol'!E22),'Score — Lysol'!E22,""),"")</f>
        <v>60</v>
      </c>
    </row>
    <row r="23" spans="1:8">
      <c r="A23" s="28">
        <f>'Snapshot Setup'!$B$4</f>
        <v>46174</v>
      </c>
      <c r="B23" s="26" t="str">
        <f>IF('Snapshot Setup'!B6="","",'Snapshot Setup'!B6)</f>
        <v>Lysol</v>
      </c>
      <c r="C23" s="26" t="b">
        <v>1</v>
      </c>
      <c r="D23" s="26" t="s">
        <v>191</v>
      </c>
      <c r="E23" s="26" t="s">
        <v>292</v>
      </c>
      <c r="F23" s="26" t="s">
        <v>171</v>
      </c>
      <c r="G23" s="26" t="s">
        <v>194</v>
      </c>
      <c r="H23" s="15">
        <f>IFERROR(IF(ISNUMBER('Score — Lysol'!E23),'Score — Lysol'!E23,""),"")</f>
        <v>58</v>
      </c>
    </row>
    <row r="24" spans="1:8">
      <c r="A24" s="28">
        <f>'Snapshot Setup'!$B$4</f>
        <v>46174</v>
      </c>
      <c r="B24" s="26" t="str">
        <f>IF('Snapshot Setup'!B6="","",'Snapshot Setup'!B6)</f>
        <v>Lysol</v>
      </c>
      <c r="C24" s="26" t="b">
        <v>1</v>
      </c>
      <c r="D24" s="26" t="s">
        <v>191</v>
      </c>
      <c r="E24" s="26" t="s">
        <v>297</v>
      </c>
      <c r="F24" s="26" t="s">
        <v>171</v>
      </c>
      <c r="G24" s="26" t="s">
        <v>194</v>
      </c>
      <c r="H24" s="15">
        <f>IFERROR(IF(ISNUMBER('Score — Lysol'!E24),'Score — Lysol'!E24,""),"")</f>
        <v>48</v>
      </c>
    </row>
    <row r="25" spans="1:8">
      <c r="A25" s="28">
        <f>'Snapshot Setup'!$B$4</f>
        <v>46174</v>
      </c>
      <c r="B25" s="26" t="str">
        <f>IF('Snapshot Setup'!B6="","",'Snapshot Setup'!B6)</f>
        <v>Lysol</v>
      </c>
      <c r="C25" s="26" t="b">
        <v>1</v>
      </c>
      <c r="D25" s="26" t="s">
        <v>191</v>
      </c>
      <c r="E25" s="26" t="s">
        <v>302</v>
      </c>
      <c r="F25" s="26" t="s">
        <v>171</v>
      </c>
      <c r="G25" s="26" t="s">
        <v>194</v>
      </c>
      <c r="H25" s="15">
        <f>IFERROR(IF(ISNUMBER('Score — Lysol'!E25),'Score — Lysol'!E25,""),"")</f>
        <v>50</v>
      </c>
    </row>
    <row r="26" spans="1:8">
      <c r="A26" s="28">
        <f>'Snapshot Setup'!$B$4</f>
        <v>46174</v>
      </c>
      <c r="B26" s="26" t="str">
        <f>IF('Snapshot Setup'!B6="","",'Snapshot Setup'!B6)</f>
        <v>Lysol</v>
      </c>
      <c r="C26" s="26" t="b">
        <v>1</v>
      </c>
      <c r="D26" s="26" t="s">
        <v>191</v>
      </c>
      <c r="E26" s="26" t="s">
        <v>307</v>
      </c>
      <c r="F26" s="26" t="s">
        <v>173</v>
      </c>
      <c r="G26" s="26" t="s">
        <v>241</v>
      </c>
      <c r="H26" s="15">
        <f>IFERROR(IF(ISNUMBER('Score — Lysol'!E26),'Score — Lysol'!E26,""),"")</f>
        <v>56</v>
      </c>
    </row>
    <row r="27" spans="1:8">
      <c r="A27" s="28">
        <f>'Snapshot Setup'!$B$4</f>
        <v>46174</v>
      </c>
      <c r="B27" s="26" t="str">
        <f>IF('Snapshot Setup'!B6="","",'Snapshot Setup'!B6)</f>
        <v>Lysol</v>
      </c>
      <c r="C27" s="26" t="b">
        <v>1</v>
      </c>
      <c r="D27" s="26" t="s">
        <v>191</v>
      </c>
      <c r="E27" s="26" t="s">
        <v>312</v>
      </c>
      <c r="F27" s="26" t="s">
        <v>170</v>
      </c>
      <c r="G27" s="26" t="s">
        <v>313</v>
      </c>
      <c r="H27" s="15">
        <f>IFERROR(IF(ISNUMBER('Score — Lysol'!E27),'Score — Lysol'!E27,""),"")</f>
        <v>36</v>
      </c>
    </row>
    <row r="28" spans="1:8">
      <c r="A28" s="28">
        <f>'Snapshot Setup'!$B$4</f>
        <v>46174</v>
      </c>
      <c r="B28" s="26" t="str">
        <f>IF('Snapshot Setup'!B6="","",'Snapshot Setup'!B6)</f>
        <v>Lysol</v>
      </c>
      <c r="C28" s="26" t="b">
        <v>1</v>
      </c>
      <c r="D28" s="26" t="s">
        <v>191</v>
      </c>
      <c r="E28" s="26" t="s">
        <v>318</v>
      </c>
      <c r="F28" s="26" t="s">
        <v>171</v>
      </c>
      <c r="G28" s="26" t="s">
        <v>194</v>
      </c>
      <c r="H28" s="15">
        <f>IFERROR(IF(ISNUMBER('Score — Lysol'!E28),'Score — Lysol'!E28,""),"")</f>
        <v>45</v>
      </c>
    </row>
    <row r="29" spans="1:8">
      <c r="A29" s="28">
        <f>'Snapshot Setup'!$B$4</f>
        <v>46174</v>
      </c>
      <c r="B29" s="26" t="str">
        <f>IF('Snapshot Setup'!B6="","",'Snapshot Setup'!B6)</f>
        <v>Lysol</v>
      </c>
      <c r="C29" s="26" t="b">
        <v>1</v>
      </c>
      <c r="D29" s="26" t="s">
        <v>323</v>
      </c>
      <c r="E29" s="26" t="s">
        <v>324</v>
      </c>
      <c r="F29" s="26" t="s">
        <v>172</v>
      </c>
      <c r="G29" s="26" t="s">
        <v>325</v>
      </c>
      <c r="H29" s="15">
        <f>IFERROR(IF(ISNUMBER('Score — Lysol'!E29),'Score — Lysol'!E29,""),"")</f>
        <v>58</v>
      </c>
    </row>
    <row r="30" spans="1:8">
      <c r="A30" s="28">
        <f>'Snapshot Setup'!$B$4</f>
        <v>46174</v>
      </c>
      <c r="B30" s="26" t="str">
        <f>IF('Snapshot Setup'!B6="","",'Snapshot Setup'!B6)</f>
        <v>Lysol</v>
      </c>
      <c r="C30" s="26" t="b">
        <v>1</v>
      </c>
      <c r="D30" s="26" t="s">
        <v>323</v>
      </c>
      <c r="E30" s="26" t="s">
        <v>329</v>
      </c>
      <c r="F30" s="26" t="s">
        <v>171</v>
      </c>
      <c r="G30" s="26" t="s">
        <v>330</v>
      </c>
      <c r="H30" s="15">
        <f>IFERROR(IF(ISNUMBER('Score — Lysol'!E30),'Score — Lysol'!E30,""),"")</f>
        <v>52</v>
      </c>
    </row>
    <row r="31" spans="1:8">
      <c r="A31" s="28">
        <f>'Snapshot Setup'!$B$4</f>
        <v>46174</v>
      </c>
      <c r="B31" s="26" t="str">
        <f>IF('Snapshot Setup'!B6="","",'Snapshot Setup'!B6)</f>
        <v>Lysol</v>
      </c>
      <c r="C31" s="26" t="b">
        <v>1</v>
      </c>
      <c r="D31" s="26" t="s">
        <v>323</v>
      </c>
      <c r="E31" s="26" t="s">
        <v>333</v>
      </c>
      <c r="F31" s="26" t="s">
        <v>172</v>
      </c>
      <c r="G31" s="26" t="s">
        <v>334</v>
      </c>
      <c r="H31" s="15">
        <f>IFERROR(IF(ISNUMBER('Score — Lysol'!E31),'Score — Lysol'!E31,""),"")</f>
        <v>54</v>
      </c>
    </row>
    <row r="32" spans="1:8">
      <c r="A32" s="28">
        <f>'Snapshot Setup'!$B$4</f>
        <v>46174</v>
      </c>
      <c r="B32" s="26" t="str">
        <f>IF('Snapshot Setup'!B6="","",'Snapshot Setup'!B6)</f>
        <v>Lysol</v>
      </c>
      <c r="C32" s="26" t="b">
        <v>1</v>
      </c>
      <c r="D32" s="26" t="s">
        <v>323</v>
      </c>
      <c r="E32" s="26" t="s">
        <v>339</v>
      </c>
      <c r="F32" s="26" t="s">
        <v>172</v>
      </c>
      <c r="G32" s="26" t="s">
        <v>325</v>
      </c>
      <c r="H32" s="15" t="str">
        <f>IFERROR(IF(ISNUMBER('Score — Lysol'!E32),'Score — Lysol'!E32,""),"")</f>
        <v/>
      </c>
    </row>
    <row r="33" spans="1:8">
      <c r="A33" s="28">
        <f>'Snapshot Setup'!$B$4</f>
        <v>46174</v>
      </c>
      <c r="B33" s="26" t="str">
        <f>IF('Snapshot Setup'!B6="","",'Snapshot Setup'!B6)</f>
        <v>Lysol</v>
      </c>
      <c r="C33" s="26" t="b">
        <v>1</v>
      </c>
      <c r="D33" s="26" t="s">
        <v>323</v>
      </c>
      <c r="E33" s="26" t="s">
        <v>343</v>
      </c>
      <c r="F33" s="26" t="s">
        <v>171</v>
      </c>
      <c r="G33" s="26" t="s">
        <v>330</v>
      </c>
      <c r="H33" s="15">
        <f>IFERROR(IF(ISNUMBER('Score — Lysol'!E33),'Score — Lysol'!E33,""),"")</f>
        <v>64</v>
      </c>
    </row>
    <row r="34" spans="1:8">
      <c r="A34" s="28">
        <f>'Snapshot Setup'!$B$4</f>
        <v>46174</v>
      </c>
      <c r="B34" s="26" t="str">
        <f>IF('Snapshot Setup'!B6="","",'Snapshot Setup'!B6)</f>
        <v>Lysol</v>
      </c>
      <c r="C34" s="26" t="b">
        <v>1</v>
      </c>
      <c r="D34" s="26" t="s">
        <v>323</v>
      </c>
      <c r="E34" s="26" t="s">
        <v>347</v>
      </c>
      <c r="F34" s="26" t="s">
        <v>170</v>
      </c>
      <c r="G34" s="26" t="s">
        <v>284</v>
      </c>
      <c r="H34" s="15">
        <f>IFERROR(IF(ISNUMBER('Score — Lysol'!E34),'Score — Lysol'!E34,""),"")</f>
        <v>62</v>
      </c>
    </row>
    <row r="35" spans="1:8">
      <c r="A35" s="28">
        <f>'Snapshot Setup'!$B$4</f>
        <v>46174</v>
      </c>
      <c r="B35" s="26" t="str">
        <f>IF('Snapshot Setup'!B6="","",'Snapshot Setup'!B6)</f>
        <v>Lysol</v>
      </c>
      <c r="C35" s="26" t="b">
        <v>1</v>
      </c>
      <c r="D35" s="26" t="s">
        <v>323</v>
      </c>
      <c r="E35" s="26" t="s">
        <v>352</v>
      </c>
      <c r="F35" s="26" t="s">
        <v>170</v>
      </c>
      <c r="G35" s="26" t="s">
        <v>353</v>
      </c>
      <c r="H35" s="15">
        <f>IFERROR(IF(ISNUMBER('Score — Lysol'!E35),'Score — Lysol'!E35,""),"")</f>
        <v>62</v>
      </c>
    </row>
    <row r="36" spans="1:8">
      <c r="A36" s="28">
        <f>'Snapshot Setup'!$B$4</f>
        <v>46174</v>
      </c>
      <c r="B36" s="26" t="str">
        <f>IF('Snapshot Setup'!B6="","",'Snapshot Setup'!B6)</f>
        <v>Lysol</v>
      </c>
      <c r="C36" s="26" t="b">
        <v>1</v>
      </c>
      <c r="D36" s="26" t="s">
        <v>323</v>
      </c>
      <c r="E36" s="26" t="s">
        <v>358</v>
      </c>
      <c r="F36" s="26" t="s">
        <v>170</v>
      </c>
      <c r="G36" s="26" t="s">
        <v>284</v>
      </c>
      <c r="H36" s="15">
        <f>IFERROR(IF(ISNUMBER('Score — Lysol'!E36),'Score — Lysol'!E36,""),"")</f>
        <v>48</v>
      </c>
    </row>
    <row r="37" spans="1:8">
      <c r="A37" s="28">
        <f>'Snapshot Setup'!$B$4</f>
        <v>46174</v>
      </c>
      <c r="B37" s="26" t="str">
        <f>IF('Snapshot Setup'!B6="","",'Snapshot Setup'!B6)</f>
        <v>Lysol</v>
      </c>
      <c r="C37" s="26" t="b">
        <v>1</v>
      </c>
      <c r="D37" s="26" t="s">
        <v>323</v>
      </c>
      <c r="E37" s="26" t="s">
        <v>363</v>
      </c>
      <c r="F37" s="26" t="s">
        <v>170</v>
      </c>
      <c r="G37" s="26" t="s">
        <v>364</v>
      </c>
      <c r="H37" s="15">
        <f>IFERROR(IF(ISNUMBER('Score — Lysol'!E37),'Score — Lysol'!E37,""),"")</f>
        <v>50</v>
      </c>
    </row>
    <row r="38" spans="1:8">
      <c r="A38" s="28">
        <f>'Snapshot Setup'!$B$4</f>
        <v>46174</v>
      </c>
      <c r="B38" s="26" t="str">
        <f>IF('Snapshot Setup'!B6="","",'Snapshot Setup'!B6)</f>
        <v>Lysol</v>
      </c>
      <c r="C38" s="26" t="b">
        <v>1</v>
      </c>
      <c r="D38" s="26" t="s">
        <v>323</v>
      </c>
      <c r="E38" s="26" t="s">
        <v>369</v>
      </c>
      <c r="F38" s="26" t="s">
        <v>170</v>
      </c>
      <c r="G38" s="26" t="s">
        <v>313</v>
      </c>
      <c r="H38" s="15">
        <f>IFERROR(IF(ISNUMBER('Score — Lysol'!E38),'Score — Lysol'!E38,""),"")</f>
        <v>60</v>
      </c>
    </row>
    <row r="39" spans="1:8">
      <c r="A39" s="28">
        <f>'Snapshot Setup'!$B$4</f>
        <v>46174</v>
      </c>
      <c r="B39" s="26" t="str">
        <f>IF('Snapshot Setup'!B6="","",'Snapshot Setup'!B6)</f>
        <v>Lysol</v>
      </c>
      <c r="C39" s="26" t="b">
        <v>1</v>
      </c>
      <c r="D39" s="26" t="s">
        <v>323</v>
      </c>
      <c r="E39" s="26" t="s">
        <v>372</v>
      </c>
      <c r="F39" s="26" t="s">
        <v>170</v>
      </c>
      <c r="G39" s="26" t="s">
        <v>284</v>
      </c>
      <c r="H39" s="15">
        <f>IFERROR(IF(ISNUMBER('Score — Lysol'!E39),'Score — Lysol'!E39,""),"")</f>
        <v>49</v>
      </c>
    </row>
    <row r="40" spans="1:8">
      <c r="A40" s="28">
        <f>'Snapshot Setup'!$B$4</f>
        <v>46174</v>
      </c>
      <c r="B40" s="26" t="str">
        <f>IF('Snapshot Setup'!B6="","",'Snapshot Setup'!B6)</f>
        <v>Lysol</v>
      </c>
      <c r="C40" s="26" t="b">
        <v>1</v>
      </c>
      <c r="D40" s="26" t="s">
        <v>323</v>
      </c>
      <c r="E40" s="26" t="s">
        <v>377</v>
      </c>
      <c r="F40" s="26" t="s">
        <v>170</v>
      </c>
      <c r="G40" s="26" t="s">
        <v>284</v>
      </c>
      <c r="H40" s="15">
        <f>IFERROR(IF(ISNUMBER('Score — Lysol'!E40),'Score — Lysol'!E40,""),"")</f>
        <v>48</v>
      </c>
    </row>
    <row r="41" spans="1:8">
      <c r="A41" s="28">
        <f>'Snapshot Setup'!$B$4</f>
        <v>46174</v>
      </c>
      <c r="B41" s="26" t="str">
        <f>IF('Snapshot Setup'!B6="","",'Snapshot Setup'!B6)</f>
        <v>Lysol</v>
      </c>
      <c r="C41" s="26" t="b">
        <v>1</v>
      </c>
      <c r="D41" s="26" t="s">
        <v>323</v>
      </c>
      <c r="E41" s="26" t="s">
        <v>381</v>
      </c>
      <c r="F41" s="26" t="s">
        <v>170</v>
      </c>
      <c r="G41" s="26" t="s">
        <v>364</v>
      </c>
      <c r="H41" s="15">
        <f>IFERROR(IF(ISNUMBER('Score — Lysol'!E41),'Score — Lysol'!E41,""),"")</f>
        <v>50</v>
      </c>
    </row>
    <row r="42" spans="1:8">
      <c r="A42" s="28">
        <f>'Snapshot Setup'!$B$4</f>
        <v>46174</v>
      </c>
      <c r="B42" s="26" t="str">
        <f>IF('Snapshot Setup'!B6="","",'Snapshot Setup'!B6)</f>
        <v>Lysol</v>
      </c>
      <c r="C42" s="26" t="b">
        <v>1</v>
      </c>
      <c r="D42" s="26" t="s">
        <v>323</v>
      </c>
      <c r="E42" s="26" t="s">
        <v>384</v>
      </c>
      <c r="F42" s="26" t="s">
        <v>170</v>
      </c>
      <c r="G42" s="26" t="s">
        <v>313</v>
      </c>
      <c r="H42" s="15">
        <f>IFERROR(IF(ISNUMBER('Score — Lysol'!E42),'Score — Lysol'!E42,""),"")</f>
        <v>52</v>
      </c>
    </row>
    <row r="43" spans="1:8">
      <c r="A43" s="28">
        <f>'Snapshot Setup'!$B$4</f>
        <v>46174</v>
      </c>
      <c r="B43" s="26" t="str">
        <f>IF('Snapshot Setup'!B6="","",'Snapshot Setup'!B6)</f>
        <v>Lysol</v>
      </c>
      <c r="C43" s="26" t="b">
        <v>1</v>
      </c>
      <c r="D43" s="26" t="s">
        <v>323</v>
      </c>
      <c r="E43" s="26" t="s">
        <v>388</v>
      </c>
      <c r="F43" s="26" t="s">
        <v>170</v>
      </c>
      <c r="G43" s="26" t="s">
        <v>389</v>
      </c>
      <c r="H43" s="15">
        <f>IFERROR(IF(ISNUMBER('Score — Lysol'!E43),'Score — Lysol'!E43,""),"")</f>
        <v>48</v>
      </c>
    </row>
    <row r="44" spans="1:8">
      <c r="A44" s="28">
        <f>'Snapshot Setup'!$B$4</f>
        <v>46174</v>
      </c>
      <c r="B44" s="26" t="str">
        <f>IF('Snapshot Setup'!B6="","",'Snapshot Setup'!B6)</f>
        <v>Lysol</v>
      </c>
      <c r="C44" s="26" t="b">
        <v>1</v>
      </c>
      <c r="D44" s="26" t="s">
        <v>323</v>
      </c>
      <c r="E44" s="26" t="s">
        <v>393</v>
      </c>
      <c r="F44" s="26" t="s">
        <v>171</v>
      </c>
      <c r="G44" s="26" t="s">
        <v>251</v>
      </c>
      <c r="H44" s="15">
        <f>IFERROR(IF(ISNUMBER('Score — Lysol'!E44),'Score — Lysol'!E44,""),"")</f>
        <v>38</v>
      </c>
    </row>
    <row r="45" spans="1:8">
      <c r="A45" s="28">
        <f>'Snapshot Setup'!$B$4</f>
        <v>46174</v>
      </c>
      <c r="B45" s="26" t="str">
        <f>IF('Snapshot Setup'!B6="","",'Snapshot Setup'!B6)</f>
        <v>Lysol</v>
      </c>
      <c r="C45" s="26" t="b">
        <v>1</v>
      </c>
      <c r="D45" s="26" t="s">
        <v>323</v>
      </c>
      <c r="E45" s="26" t="s">
        <v>398</v>
      </c>
      <c r="F45" s="26" t="s">
        <v>170</v>
      </c>
      <c r="G45" s="26" t="s">
        <v>364</v>
      </c>
      <c r="H45" s="15">
        <f>IFERROR(IF(ISNUMBER('Score — Lysol'!E45),'Score — Lysol'!E45,""),"")</f>
        <v>55</v>
      </c>
    </row>
    <row r="46" spans="1:8">
      <c r="A46" s="28">
        <f>'Snapshot Setup'!$B$4</f>
        <v>46174</v>
      </c>
      <c r="B46" s="26" t="str">
        <f>IF('Snapshot Setup'!B6="","",'Snapshot Setup'!B6)</f>
        <v>Lysol</v>
      </c>
      <c r="C46" s="26" t="b">
        <v>1</v>
      </c>
      <c r="D46" s="26" t="s">
        <v>323</v>
      </c>
      <c r="E46" s="26" t="s">
        <v>403</v>
      </c>
      <c r="F46" s="26" t="s">
        <v>172</v>
      </c>
      <c r="G46" s="26" t="s">
        <v>325</v>
      </c>
      <c r="H46" s="15">
        <f>IFERROR(IF(ISNUMBER('Score — Lysol'!E46),'Score — Lysol'!E46,""),"")</f>
        <v>50</v>
      </c>
    </row>
    <row r="47" spans="1:8">
      <c r="A47" s="28">
        <f>'Snapshot Setup'!$B$4</f>
        <v>46174</v>
      </c>
      <c r="B47" s="26" t="str">
        <f>IF('Snapshot Setup'!B6="","",'Snapshot Setup'!B6)</f>
        <v>Lysol</v>
      </c>
      <c r="C47" s="26" t="b">
        <v>1</v>
      </c>
      <c r="D47" s="26" t="s">
        <v>323</v>
      </c>
      <c r="E47" s="26" t="s">
        <v>407</v>
      </c>
      <c r="F47" s="26" t="s">
        <v>170</v>
      </c>
      <c r="G47" s="26" t="s">
        <v>389</v>
      </c>
      <c r="H47" s="15" t="str">
        <f>IFERROR(IF(ISNUMBER('Score — Lysol'!E47),'Score — Lysol'!E47,""),"")</f>
        <v/>
      </c>
    </row>
    <row r="48" spans="1:8">
      <c r="A48" s="28">
        <f>'Snapshot Setup'!$B$4</f>
        <v>46174</v>
      </c>
      <c r="B48" s="26" t="str">
        <f>IF('Snapshot Setup'!B6="","",'Snapshot Setup'!B6)</f>
        <v>Lysol</v>
      </c>
      <c r="C48" s="26" t="b">
        <v>1</v>
      </c>
      <c r="D48" s="26" t="s">
        <v>323</v>
      </c>
      <c r="E48" s="26" t="s">
        <v>411</v>
      </c>
      <c r="F48" s="26" t="s">
        <v>170</v>
      </c>
      <c r="G48" s="26" t="s">
        <v>389</v>
      </c>
      <c r="H48" s="15">
        <f>IFERROR(IF(ISNUMBER('Score — Lysol'!E48),'Score — Lysol'!E48,""),"")</f>
        <v>52</v>
      </c>
    </row>
    <row r="49" spans="1:8">
      <c r="A49" s="28">
        <f>'Snapshot Setup'!$B$4</f>
        <v>46174</v>
      </c>
      <c r="B49" s="26" t="str">
        <f>IF('Snapshot Setup'!B6="","",'Snapshot Setup'!B6)</f>
        <v>Lysol</v>
      </c>
      <c r="C49" s="26" t="b">
        <v>1</v>
      </c>
      <c r="D49" s="26" t="s">
        <v>416</v>
      </c>
      <c r="E49" s="26" t="s">
        <v>417</v>
      </c>
      <c r="F49" s="26" t="s">
        <v>173</v>
      </c>
      <c r="G49" s="26" t="s">
        <v>224</v>
      </c>
      <c r="H49" s="15">
        <f>IFERROR(IF(ISNUMBER('Score — Lysol'!E49),'Score — Lysol'!E49,""),"")</f>
        <v>44</v>
      </c>
    </row>
    <row r="50" spans="1:8">
      <c r="A50" s="28">
        <f>'Snapshot Setup'!$B$4</f>
        <v>46174</v>
      </c>
      <c r="B50" s="26" t="str">
        <f>IF('Snapshot Setup'!B6="","",'Snapshot Setup'!B6)</f>
        <v>Lysol</v>
      </c>
      <c r="C50" s="26" t="b">
        <v>1</v>
      </c>
      <c r="D50" s="26" t="s">
        <v>416</v>
      </c>
      <c r="E50" s="26" t="s">
        <v>422</v>
      </c>
      <c r="F50" s="26" t="s">
        <v>263</v>
      </c>
      <c r="G50" s="26" t="s">
        <v>263</v>
      </c>
      <c r="H50" s="15" t="str">
        <f>IFERROR(IF(ISNUMBER('Score — Lysol'!E50),'Score — Lysol'!E50,""),"")</f>
        <v/>
      </c>
    </row>
    <row r="51" spans="1:8">
      <c r="A51" s="28">
        <f>'Snapshot Setup'!$B$4</f>
        <v>46174</v>
      </c>
      <c r="B51" s="26" t="str">
        <f>IF('Snapshot Setup'!B6="","",'Snapshot Setup'!B6)</f>
        <v>Lysol</v>
      </c>
      <c r="C51" s="26" t="b">
        <v>1</v>
      </c>
      <c r="D51" s="26" t="s">
        <v>416</v>
      </c>
      <c r="E51" s="26" t="s">
        <v>426</v>
      </c>
      <c r="F51" s="26" t="s">
        <v>263</v>
      </c>
      <c r="G51" s="26" t="s">
        <v>263</v>
      </c>
      <c r="H51" s="15" t="str">
        <f>IFERROR(IF(ISNUMBER('Score — Lysol'!E51),'Score — Lysol'!E51,""),"")</f>
        <v/>
      </c>
    </row>
    <row r="52" spans="1:8">
      <c r="A52" s="28">
        <f>'Snapshot Setup'!$B$4</f>
        <v>46174</v>
      </c>
      <c r="B52" s="26" t="str">
        <f>IF('Snapshot Setup'!B6="","",'Snapshot Setup'!B6)</f>
        <v>Lysol</v>
      </c>
      <c r="C52" s="26" t="b">
        <v>1</v>
      </c>
      <c r="D52" s="26" t="s">
        <v>416</v>
      </c>
      <c r="E52" s="26" t="s">
        <v>429</v>
      </c>
      <c r="F52" s="26" t="s">
        <v>263</v>
      </c>
      <c r="G52" s="26" t="s">
        <v>263</v>
      </c>
      <c r="H52" s="15" t="str">
        <f>IFERROR(IF(ISNUMBER('Score — Lysol'!E52),'Score — Lysol'!E52,""),"")</f>
        <v/>
      </c>
    </row>
    <row r="53" spans="1:8">
      <c r="A53" s="28">
        <f>'Snapshot Setup'!$B$4</f>
        <v>46174</v>
      </c>
      <c r="B53" s="26" t="str">
        <f>IF('Snapshot Setup'!B6="","",'Snapshot Setup'!B6)</f>
        <v>Lysol</v>
      </c>
      <c r="C53" s="26" t="b">
        <v>1</v>
      </c>
      <c r="D53" s="26" t="s">
        <v>416</v>
      </c>
      <c r="E53" s="26" t="s">
        <v>432</v>
      </c>
      <c r="F53" s="26" t="s">
        <v>263</v>
      </c>
      <c r="G53" s="26" t="s">
        <v>263</v>
      </c>
      <c r="H53" s="15" t="str">
        <f>IFERROR(IF(ISNUMBER('Score — Lysol'!E53),'Score — Lysol'!E53,""),"")</f>
        <v/>
      </c>
    </row>
    <row r="54" spans="1:8">
      <c r="A54" s="28">
        <f>'Snapshot Setup'!$B$4</f>
        <v>46174</v>
      </c>
      <c r="B54" s="26" t="str">
        <f>IF('Snapshot Setup'!B6="","",'Snapshot Setup'!B6)</f>
        <v>Lysol</v>
      </c>
      <c r="C54" s="26" t="b">
        <v>1</v>
      </c>
      <c r="D54" s="26" t="s">
        <v>416</v>
      </c>
      <c r="E54" s="26" t="s">
        <v>436</v>
      </c>
      <c r="F54" s="26" t="s">
        <v>263</v>
      </c>
      <c r="G54" s="26" t="s">
        <v>263</v>
      </c>
      <c r="H54" s="15" t="str">
        <f>IFERROR(IF(ISNUMBER('Score — Lysol'!E54),'Score — Lysol'!E54,""),"")</f>
        <v/>
      </c>
    </row>
    <row r="55" spans="1:8">
      <c r="A55" s="28">
        <f>'Snapshot Setup'!$B$4</f>
        <v>46174</v>
      </c>
      <c r="B55" s="26" t="str">
        <f>IF('Snapshot Setup'!B6="","",'Snapshot Setup'!B6)</f>
        <v>Lysol</v>
      </c>
      <c r="C55" s="26" t="b">
        <v>1</v>
      </c>
      <c r="D55" s="26" t="s">
        <v>416</v>
      </c>
      <c r="E55" s="26" t="s">
        <v>439</v>
      </c>
      <c r="F55" s="26" t="s">
        <v>263</v>
      </c>
      <c r="G55" s="26" t="s">
        <v>263</v>
      </c>
      <c r="H55" s="15" t="str">
        <f>IFERROR(IF(ISNUMBER('Score — Lysol'!E55),'Score — Lysol'!E55,""),"")</f>
        <v/>
      </c>
    </row>
    <row r="56" spans="1:8">
      <c r="A56" s="28">
        <f>'Snapshot Setup'!$B$4</f>
        <v>46174</v>
      </c>
      <c r="B56" s="26" t="str">
        <f>IF('Snapshot Setup'!B6="","",'Snapshot Setup'!B6)</f>
        <v>Lysol</v>
      </c>
      <c r="C56" s="26" t="b">
        <v>1</v>
      </c>
      <c r="D56" s="26" t="s">
        <v>416</v>
      </c>
      <c r="E56" s="26" t="s">
        <v>442</v>
      </c>
      <c r="F56" s="26" t="s">
        <v>263</v>
      </c>
      <c r="G56" s="26" t="s">
        <v>263</v>
      </c>
      <c r="H56" s="15" t="str">
        <f>IFERROR(IF(ISNUMBER('Score — Lysol'!E56),'Score — Lysol'!E56,""),"")</f>
        <v/>
      </c>
    </row>
    <row r="57" spans="1:8">
      <c r="A57" s="28">
        <f>'Snapshot Setup'!$B$4</f>
        <v>46174</v>
      </c>
      <c r="B57" s="26" t="str">
        <f>IF('Snapshot Setup'!B6="","",'Snapshot Setup'!B6)</f>
        <v>Lysol</v>
      </c>
      <c r="C57" s="26" t="b">
        <v>1</v>
      </c>
      <c r="D57" s="26" t="s">
        <v>416</v>
      </c>
      <c r="E57" s="26" t="s">
        <v>445</v>
      </c>
      <c r="F57" s="26" t="s">
        <v>263</v>
      </c>
      <c r="G57" s="26" t="s">
        <v>263</v>
      </c>
      <c r="H57" s="15" t="str">
        <f>IFERROR(IF(ISNUMBER('Score — Lysol'!E57),'Score — Lysol'!E57,""),"")</f>
        <v/>
      </c>
    </row>
    <row r="58" spans="1:8">
      <c r="A58" s="28">
        <f>'Snapshot Setup'!$B$4</f>
        <v>46174</v>
      </c>
      <c r="B58" s="26" t="str">
        <f>IF('Snapshot Setup'!B6="","",'Snapshot Setup'!B6)</f>
        <v>Lysol</v>
      </c>
      <c r="C58" s="26" t="b">
        <v>1</v>
      </c>
      <c r="D58" s="26" t="s">
        <v>416</v>
      </c>
      <c r="E58" s="26" t="s">
        <v>448</v>
      </c>
      <c r="F58" s="26" t="s">
        <v>173</v>
      </c>
      <c r="G58" s="26" t="s">
        <v>449</v>
      </c>
      <c r="H58" s="15" t="str">
        <f>IFERROR(IF(ISNUMBER('Score — Lysol'!E58),'Score — Lysol'!E58,""),"")</f>
        <v/>
      </c>
    </row>
    <row r="59" spans="1:8">
      <c r="A59" s="28">
        <f>'Snapshot Setup'!$B$4</f>
        <v>46174</v>
      </c>
      <c r="B59" s="26" t="str">
        <f>IF('Snapshot Setup'!B6="","",'Snapshot Setup'!B6)</f>
        <v>Lysol</v>
      </c>
      <c r="C59" s="26" t="b">
        <v>1</v>
      </c>
      <c r="D59" s="26" t="s">
        <v>416</v>
      </c>
      <c r="E59" s="26" t="s">
        <v>452</v>
      </c>
      <c r="F59" s="26" t="s">
        <v>173</v>
      </c>
      <c r="G59" s="26" t="s">
        <v>449</v>
      </c>
      <c r="H59" s="15">
        <f>IFERROR(IF(ISNUMBER('Score — Lysol'!E59),'Score — Lysol'!E59,""),"")</f>
        <v>46</v>
      </c>
    </row>
    <row r="60" spans="1:8">
      <c r="A60" s="28">
        <f>'Snapshot Setup'!$B$4</f>
        <v>46174</v>
      </c>
      <c r="B60" s="26" t="str">
        <f>IF('Snapshot Setup'!B6="","",'Snapshot Setup'!B6)</f>
        <v>Lysol</v>
      </c>
      <c r="C60" s="26" t="b">
        <v>1</v>
      </c>
      <c r="D60" s="26" t="s">
        <v>457</v>
      </c>
      <c r="E60" s="26" t="s">
        <v>458</v>
      </c>
      <c r="F60" s="26" t="s">
        <v>170</v>
      </c>
      <c r="G60" s="26" t="s">
        <v>353</v>
      </c>
      <c r="H60" s="15">
        <f>IFERROR(IF(ISNUMBER('Score — Lysol'!E60),'Score — Lysol'!E60,""),"")</f>
        <v>62</v>
      </c>
    </row>
    <row r="61" spans="1:8">
      <c r="A61" s="28">
        <f>'Snapshot Setup'!$B$4</f>
        <v>46174</v>
      </c>
      <c r="B61" s="26" t="str">
        <f>IF('Snapshot Setup'!B6="","",'Snapshot Setup'!B6)</f>
        <v>Lysol</v>
      </c>
      <c r="C61" s="26" t="b">
        <v>1</v>
      </c>
      <c r="D61" s="26" t="s">
        <v>457</v>
      </c>
      <c r="E61" s="26" t="s">
        <v>462</v>
      </c>
      <c r="F61" s="26" t="s">
        <v>263</v>
      </c>
      <c r="G61" s="26" t="s">
        <v>263</v>
      </c>
      <c r="H61" s="15" t="str">
        <f>IFERROR(IF(ISNUMBER('Score — Lysol'!E61),'Score — Lysol'!E61,""),"")</f>
        <v/>
      </c>
    </row>
    <row r="62" spans="1:8">
      <c r="A62" s="28">
        <f>'Snapshot Setup'!$B$4</f>
        <v>46174</v>
      </c>
      <c r="B62" s="26" t="str">
        <f>IF('Snapshot Setup'!B6="","",'Snapshot Setup'!B6)</f>
        <v>Lysol</v>
      </c>
      <c r="C62" s="26" t="b">
        <v>1</v>
      </c>
      <c r="D62" s="26" t="s">
        <v>457</v>
      </c>
      <c r="E62" s="26" t="s">
        <v>465</v>
      </c>
      <c r="F62" s="26" t="s">
        <v>173</v>
      </c>
      <c r="G62" s="26" t="s">
        <v>278</v>
      </c>
      <c r="H62" s="15">
        <f>IFERROR(IF(ISNUMBER('Score — Lysol'!E62),'Score — Lysol'!E62,""),"")</f>
        <v>30</v>
      </c>
    </row>
    <row r="63" spans="1:8">
      <c r="A63" s="28">
        <f>'Snapshot Setup'!$B$4</f>
        <v>46174</v>
      </c>
      <c r="B63" s="26" t="str">
        <f>IF('Snapshot Setup'!B6="","",'Snapshot Setup'!B6)</f>
        <v>Lysol</v>
      </c>
      <c r="C63" s="26" t="b">
        <v>1</v>
      </c>
      <c r="D63" s="26" t="s">
        <v>457</v>
      </c>
      <c r="E63" s="26" t="s">
        <v>469</v>
      </c>
      <c r="F63" s="26" t="s">
        <v>173</v>
      </c>
      <c r="G63" s="26" t="s">
        <v>278</v>
      </c>
      <c r="H63" s="15">
        <f>IFERROR(IF(ISNUMBER('Score — Lysol'!E63),'Score — Lysol'!E63,""),"")</f>
        <v>24</v>
      </c>
    </row>
    <row r="64" spans="1:8">
      <c r="A64" s="28">
        <f>'Snapshot Setup'!$B$4</f>
        <v>46174</v>
      </c>
      <c r="B64" s="26" t="str">
        <f>IF('Snapshot Setup'!B6="","",'Snapshot Setup'!B6)</f>
        <v>Lysol</v>
      </c>
      <c r="C64" s="26" t="b">
        <v>1</v>
      </c>
      <c r="D64" s="26" t="s">
        <v>457</v>
      </c>
      <c r="E64" s="26" t="s">
        <v>473</v>
      </c>
      <c r="F64" s="26" t="s">
        <v>172</v>
      </c>
      <c r="G64" s="26" t="s">
        <v>334</v>
      </c>
      <c r="H64" s="15">
        <f>IFERROR(IF(ISNUMBER('Score — Lysol'!E64),'Score — Lysol'!E64,""),"")</f>
        <v>34</v>
      </c>
    </row>
    <row r="65" spans="1:8">
      <c r="A65" s="28">
        <f>'Snapshot Setup'!$B$4</f>
        <v>46174</v>
      </c>
      <c r="B65" s="26" t="str">
        <f>IF('Snapshot Setup'!B6="","",'Snapshot Setup'!B6)</f>
        <v>Lysol</v>
      </c>
      <c r="C65" s="26" t="b">
        <v>1</v>
      </c>
      <c r="D65" s="26" t="s">
        <v>457</v>
      </c>
      <c r="E65" s="26" t="s">
        <v>476</v>
      </c>
      <c r="F65" s="26" t="s">
        <v>172</v>
      </c>
      <c r="G65" s="26" t="s">
        <v>477</v>
      </c>
      <c r="H65" s="15">
        <f>IFERROR(IF(ISNUMBER('Score — Lysol'!E65),'Score — Lysol'!E65,""),"")</f>
        <v>20</v>
      </c>
    </row>
    <row r="66" spans="1:8">
      <c r="A66" s="28">
        <f>'Snapshot Setup'!$B$4</f>
        <v>46174</v>
      </c>
      <c r="B66" s="26" t="str">
        <f>IF('Snapshot Setup'!B6="","",'Snapshot Setup'!B6)</f>
        <v>Lysol</v>
      </c>
      <c r="C66" s="26" t="b">
        <v>1</v>
      </c>
      <c r="D66" s="26" t="s">
        <v>457</v>
      </c>
      <c r="E66" s="26" t="s">
        <v>480</v>
      </c>
      <c r="F66" s="26" t="s">
        <v>173</v>
      </c>
      <c r="G66" s="26" t="s">
        <v>278</v>
      </c>
      <c r="H66" s="15">
        <f>IFERROR(IF(ISNUMBER('Score — Lysol'!E66),'Score — Lysol'!E66,""),"")</f>
        <v>28</v>
      </c>
    </row>
    <row r="67" spans="1:8">
      <c r="A67" s="28">
        <f>'Snapshot Setup'!$B$4</f>
        <v>46174</v>
      </c>
      <c r="B67" s="26" t="str">
        <f>IF('Snapshot Setup'!B6="","",'Snapshot Setup'!B6)</f>
        <v>Lysol</v>
      </c>
      <c r="C67" s="26" t="b">
        <v>1</v>
      </c>
      <c r="D67" s="26" t="s">
        <v>457</v>
      </c>
      <c r="E67" s="26" t="s">
        <v>484</v>
      </c>
      <c r="F67" s="26" t="s">
        <v>173</v>
      </c>
      <c r="G67" s="26" t="s">
        <v>278</v>
      </c>
      <c r="H67" s="15">
        <f>IFERROR(IF(ISNUMBER('Score — Lysol'!E67),'Score — Lysol'!E67,""),"")</f>
        <v>30</v>
      </c>
    </row>
    <row r="68" spans="1:8">
      <c r="A68" s="28">
        <f>'Snapshot Setup'!$B$4</f>
        <v>46174</v>
      </c>
      <c r="B68" s="26" t="str">
        <f>IF('Snapshot Setup'!B6="","",'Snapshot Setup'!B6)</f>
        <v>Lysol</v>
      </c>
      <c r="C68" s="26" t="b">
        <v>1</v>
      </c>
      <c r="D68" s="26" t="s">
        <v>457</v>
      </c>
      <c r="E68" s="26" t="s">
        <v>487</v>
      </c>
      <c r="F68" s="26" t="s">
        <v>173</v>
      </c>
      <c r="G68" s="26" t="s">
        <v>278</v>
      </c>
      <c r="H68" s="15">
        <f>IFERROR(IF(ISNUMBER('Score — Lysol'!E68),'Score — Lysol'!E68,""),"")</f>
        <v>0</v>
      </c>
    </row>
    <row r="69" spans="1:8">
      <c r="A69" s="28">
        <f>'Snapshot Setup'!$B$4</f>
        <v>46174</v>
      </c>
      <c r="B69" s="26" t="str">
        <f>IF('Snapshot Setup'!B6="","",'Snapshot Setup'!B6)</f>
        <v>Lysol</v>
      </c>
      <c r="C69" s="26" t="b">
        <v>1</v>
      </c>
      <c r="D69" s="26" t="s">
        <v>492</v>
      </c>
      <c r="E69" s="26" t="s">
        <v>493</v>
      </c>
      <c r="F69" s="26" t="s">
        <v>171</v>
      </c>
      <c r="G69" s="26" t="s">
        <v>231</v>
      </c>
      <c r="H69" s="15">
        <f>IFERROR(IF(ISNUMBER('Score — Lysol'!E69),'Score — Lysol'!E69,""),"")</f>
        <v>58</v>
      </c>
    </row>
    <row r="70" spans="1:8">
      <c r="A70" s="28">
        <f>'Snapshot Setup'!$B$4</f>
        <v>46174</v>
      </c>
      <c r="B70" s="26" t="str">
        <f>IF('Snapshot Setup'!B6="","",'Snapshot Setup'!B6)</f>
        <v>Lysol</v>
      </c>
      <c r="C70" s="26" t="b">
        <v>1</v>
      </c>
      <c r="D70" s="26" t="s">
        <v>492</v>
      </c>
      <c r="E70" s="26" t="s">
        <v>498</v>
      </c>
      <c r="F70" s="26" t="s">
        <v>170</v>
      </c>
      <c r="G70" s="26" t="s">
        <v>313</v>
      </c>
      <c r="H70" s="15">
        <f>IFERROR(IF(ISNUMBER('Score — Lysol'!E70),'Score — Lysol'!E70,""),"")</f>
        <v>60</v>
      </c>
    </row>
    <row r="71" spans="1:8">
      <c r="A71" s="28">
        <f>'Snapshot Setup'!$B$4</f>
        <v>46174</v>
      </c>
      <c r="B71" s="26" t="str">
        <f>IF('Snapshot Setup'!B6="","",'Snapshot Setup'!B6)</f>
        <v>Lysol</v>
      </c>
      <c r="C71" s="26" t="b">
        <v>1</v>
      </c>
      <c r="D71" s="26" t="s">
        <v>492</v>
      </c>
      <c r="E71" s="26" t="s">
        <v>501</v>
      </c>
      <c r="F71" s="26" t="s">
        <v>170</v>
      </c>
      <c r="G71" s="26" t="s">
        <v>313</v>
      </c>
      <c r="H71" s="15">
        <f>IFERROR(IF(ISNUMBER('Score — Lysol'!E71),'Score — Lysol'!E71,""),"")</f>
        <v>42</v>
      </c>
    </row>
    <row r="72" spans="1:8">
      <c r="A72" s="28">
        <f>'Snapshot Setup'!$B$4</f>
        <v>46174</v>
      </c>
      <c r="B72" s="26" t="str">
        <f>IF('Snapshot Setup'!B7="","",'Snapshot Setup'!B7)</f>
        <v>Clorox Portfolio (Clorox, Pine-Sol, Purell)</v>
      </c>
      <c r="C72" s="26" t="b">
        <v>0</v>
      </c>
      <c r="D72" s="26" t="s">
        <v>191</v>
      </c>
      <c r="E72" s="26" t="s">
        <v>192</v>
      </c>
      <c r="F72" s="26" t="s">
        <v>171</v>
      </c>
      <c r="G72" s="26" t="s">
        <v>194</v>
      </c>
      <c r="H72" s="15">
        <f>IFERROR(IF(ISNUMBER('Score — Comp 1'!E4),'Score — Comp 1'!E4,""),"")</f>
        <v>88</v>
      </c>
    </row>
    <row r="73" spans="1:8">
      <c r="A73" s="28">
        <f>'Snapshot Setup'!$B$4</f>
        <v>46174</v>
      </c>
      <c r="B73" s="26" t="str">
        <f>IF('Snapshot Setup'!B7="","",'Snapshot Setup'!B7)</f>
        <v>Clorox Portfolio (Clorox, Pine-Sol, Purell)</v>
      </c>
      <c r="C73" s="26" t="b">
        <v>0</v>
      </c>
      <c r="D73" s="26" t="s">
        <v>191</v>
      </c>
      <c r="E73" s="26" t="s">
        <v>199</v>
      </c>
      <c r="F73" s="26" t="s">
        <v>171</v>
      </c>
      <c r="G73" s="26" t="s">
        <v>194</v>
      </c>
      <c r="H73" s="15">
        <f>IFERROR(IF(ISNUMBER('Score — Comp 1'!E5),'Score — Comp 1'!E5,""),"")</f>
        <v>58</v>
      </c>
    </row>
    <row r="74" spans="1:8">
      <c r="A74" s="28">
        <f>'Snapshot Setup'!$B$4</f>
        <v>46174</v>
      </c>
      <c r="B74" s="26" t="str">
        <f>IF('Snapshot Setup'!B7="","",'Snapshot Setup'!B7)</f>
        <v>Clorox Portfolio (Clorox, Pine-Sol, Purell)</v>
      </c>
      <c r="C74" s="26" t="b">
        <v>0</v>
      </c>
      <c r="D74" s="26" t="s">
        <v>191</v>
      </c>
      <c r="E74" s="26" t="s">
        <v>204</v>
      </c>
      <c r="F74" s="26" t="s">
        <v>171</v>
      </c>
      <c r="G74" s="26" t="s">
        <v>194</v>
      </c>
      <c r="H74" s="15">
        <f>IFERROR(IF(ISNUMBER('Score — Comp 1'!E6),'Score — Comp 1'!E6,""),"")</f>
        <v>88</v>
      </c>
    </row>
    <row r="75" spans="1:8">
      <c r="A75" s="28">
        <f>'Snapshot Setup'!$B$4</f>
        <v>46174</v>
      </c>
      <c r="B75" s="26" t="str">
        <f>IF('Snapshot Setup'!B7="","",'Snapshot Setup'!B7)</f>
        <v>Clorox Portfolio (Clorox, Pine-Sol, Purell)</v>
      </c>
      <c r="C75" s="26" t="b">
        <v>0</v>
      </c>
      <c r="D75" s="26" t="s">
        <v>191</v>
      </c>
      <c r="E75" s="26" t="s">
        <v>209</v>
      </c>
      <c r="F75" s="26" t="s">
        <v>171</v>
      </c>
      <c r="G75" s="26" t="s">
        <v>194</v>
      </c>
      <c r="H75" s="15">
        <f>IFERROR(IF(ISNUMBER('Score — Comp 1'!E7),'Score — Comp 1'!E7,""),"")</f>
        <v>72</v>
      </c>
    </row>
    <row r="76" spans="1:8">
      <c r="A76" s="28">
        <f>'Snapshot Setup'!$B$4</f>
        <v>46174</v>
      </c>
      <c r="B76" s="26" t="str">
        <f>IF('Snapshot Setup'!B7="","",'Snapshot Setup'!B7)</f>
        <v>Clorox Portfolio (Clorox, Pine-Sol, Purell)</v>
      </c>
      <c r="C76" s="26" t="b">
        <v>0</v>
      </c>
      <c r="D76" s="26" t="s">
        <v>191</v>
      </c>
      <c r="E76" s="26" t="s">
        <v>214</v>
      </c>
      <c r="F76" s="26" t="s">
        <v>171</v>
      </c>
      <c r="G76" s="26" t="s">
        <v>194</v>
      </c>
      <c r="H76" s="15">
        <f>IFERROR(IF(ISNUMBER('Score — Comp 1'!E8),'Score — Comp 1'!E8,""),"")</f>
        <v>76</v>
      </c>
    </row>
    <row r="77" spans="1:8">
      <c r="A77" s="28">
        <f>'Snapshot Setup'!$B$4</f>
        <v>46174</v>
      </c>
      <c r="B77" s="26" t="str">
        <f>IF('Snapshot Setup'!B7="","",'Snapshot Setup'!B7)</f>
        <v>Clorox Portfolio (Clorox, Pine-Sol, Purell)</v>
      </c>
      <c r="C77" s="26" t="b">
        <v>0</v>
      </c>
      <c r="D77" s="26" t="s">
        <v>191</v>
      </c>
      <c r="E77" s="26" t="s">
        <v>219</v>
      </c>
      <c r="F77" s="26" t="s">
        <v>171</v>
      </c>
      <c r="G77" s="26" t="s">
        <v>194</v>
      </c>
      <c r="H77" s="15">
        <f>IFERROR(IF(ISNUMBER('Score — Comp 1'!E9),'Score — Comp 1'!E9,""),"")</f>
        <v>94</v>
      </c>
    </row>
    <row r="78" spans="1:8">
      <c r="A78" s="28">
        <f>'Snapshot Setup'!$B$4</f>
        <v>46174</v>
      </c>
      <c r="B78" s="26" t="str">
        <f>IF('Snapshot Setup'!B7="","",'Snapshot Setup'!B7)</f>
        <v>Clorox Portfolio (Clorox, Pine-Sol, Purell)</v>
      </c>
      <c r="C78" s="26" t="b">
        <v>0</v>
      </c>
      <c r="D78" s="26" t="s">
        <v>191</v>
      </c>
      <c r="E78" s="26" t="s">
        <v>223</v>
      </c>
      <c r="F78" s="26" t="s">
        <v>173</v>
      </c>
      <c r="G78" s="26" t="s">
        <v>224</v>
      </c>
      <c r="H78" s="15">
        <f>IFERROR(IF(ISNUMBER('Score — Comp 1'!E10),'Score — Comp 1'!E10,""),"")</f>
        <v>70</v>
      </c>
    </row>
    <row r="79" spans="1:8">
      <c r="A79" s="28">
        <f>'Snapshot Setup'!$B$4</f>
        <v>46174</v>
      </c>
      <c r="B79" s="26" t="str">
        <f>IF('Snapshot Setup'!B7="","",'Snapshot Setup'!B7)</f>
        <v>Clorox Portfolio (Clorox, Pine-Sol, Purell)</v>
      </c>
      <c r="C79" s="26" t="b">
        <v>0</v>
      </c>
      <c r="D79" s="26" t="s">
        <v>191</v>
      </c>
      <c r="E79" s="26" t="s">
        <v>230</v>
      </c>
      <c r="F79" s="26" t="s">
        <v>171</v>
      </c>
      <c r="G79" s="26" t="s">
        <v>231</v>
      </c>
      <c r="H79" s="15">
        <f>IFERROR(IF(ISNUMBER('Score — Comp 1'!E11),'Score — Comp 1'!E11,""),"")</f>
        <v>74</v>
      </c>
    </row>
    <row r="80" spans="1:8">
      <c r="A80" s="28">
        <f>'Snapshot Setup'!$B$4</f>
        <v>46174</v>
      </c>
      <c r="B80" s="26" t="str">
        <f>IF('Snapshot Setup'!B7="","",'Snapshot Setup'!B7)</f>
        <v>Clorox Portfolio (Clorox, Pine-Sol, Purell)</v>
      </c>
      <c r="C80" s="26" t="b">
        <v>0</v>
      </c>
      <c r="D80" s="26" t="s">
        <v>191</v>
      </c>
      <c r="E80" s="26" t="s">
        <v>236</v>
      </c>
      <c r="F80" s="26" t="s">
        <v>171</v>
      </c>
      <c r="G80" s="26" t="s">
        <v>231</v>
      </c>
      <c r="H80" s="15" t="str">
        <f>IFERROR(IF(ISNUMBER('Score — Comp 1'!E12),'Score — Comp 1'!E12,""),"")</f>
        <v/>
      </c>
    </row>
    <row r="81" spans="1:8">
      <c r="A81" s="28">
        <f>'Snapshot Setup'!$B$4</f>
        <v>46174</v>
      </c>
      <c r="B81" s="26" t="str">
        <f>IF('Snapshot Setup'!B7="","",'Snapshot Setup'!B7)</f>
        <v>Clorox Portfolio (Clorox, Pine-Sol, Purell)</v>
      </c>
      <c r="C81" s="26" t="b">
        <v>0</v>
      </c>
      <c r="D81" s="26" t="s">
        <v>191</v>
      </c>
      <c r="E81" s="26" t="s">
        <v>240</v>
      </c>
      <c r="F81" s="26" t="s">
        <v>173</v>
      </c>
      <c r="G81" s="26" t="s">
        <v>241</v>
      </c>
      <c r="H81" s="15">
        <f>IFERROR(IF(ISNUMBER('Score — Comp 1'!E13),'Score — Comp 1'!E13,""),"")</f>
        <v>72</v>
      </c>
    </row>
    <row r="82" spans="1:8">
      <c r="A82" s="28">
        <f>'Snapshot Setup'!$B$4</f>
        <v>46174</v>
      </c>
      <c r="B82" s="26" t="str">
        <f>IF('Snapshot Setup'!B7="","",'Snapshot Setup'!B7)</f>
        <v>Clorox Portfolio (Clorox, Pine-Sol, Purell)</v>
      </c>
      <c r="C82" s="26" t="b">
        <v>0</v>
      </c>
      <c r="D82" s="26" t="s">
        <v>191</v>
      </c>
      <c r="E82" s="26" t="s">
        <v>246</v>
      </c>
      <c r="F82" s="26" t="s">
        <v>171</v>
      </c>
      <c r="G82" s="26" t="s">
        <v>231</v>
      </c>
      <c r="H82" s="15">
        <f>IFERROR(IF(ISNUMBER('Score — Comp 1'!E14),'Score — Comp 1'!E14,""),"")</f>
        <v>64</v>
      </c>
    </row>
    <row r="83" spans="1:8">
      <c r="A83" s="28">
        <f>'Snapshot Setup'!$B$4</f>
        <v>46174</v>
      </c>
      <c r="B83" s="26" t="str">
        <f>IF('Snapshot Setup'!B7="","",'Snapshot Setup'!B7)</f>
        <v>Clorox Portfolio (Clorox, Pine-Sol, Purell)</v>
      </c>
      <c r="C83" s="26" t="b">
        <v>0</v>
      </c>
      <c r="D83" s="26" t="s">
        <v>191</v>
      </c>
      <c r="E83" s="26" t="s">
        <v>250</v>
      </c>
      <c r="F83" s="26" t="s">
        <v>171</v>
      </c>
      <c r="G83" s="26" t="s">
        <v>251</v>
      </c>
      <c r="H83" s="15">
        <f>IFERROR(IF(ISNUMBER('Score — Comp 1'!E15),'Score — Comp 1'!E15,""),"")</f>
        <v>66</v>
      </c>
    </row>
    <row r="84" spans="1:8">
      <c r="A84" s="28">
        <f>'Snapshot Setup'!$B$4</f>
        <v>46174</v>
      </c>
      <c r="B84" s="26" t="str">
        <f>IF('Snapshot Setup'!B7="","",'Snapshot Setup'!B7)</f>
        <v>Clorox Portfolio (Clorox, Pine-Sol, Purell)</v>
      </c>
      <c r="C84" s="26" t="b">
        <v>0</v>
      </c>
      <c r="D84" s="26" t="s">
        <v>191</v>
      </c>
      <c r="E84" s="26" t="s">
        <v>256</v>
      </c>
      <c r="F84" s="26" t="s">
        <v>173</v>
      </c>
      <c r="G84" s="26" t="s">
        <v>241</v>
      </c>
      <c r="H84" s="15">
        <f>IFERROR(IF(ISNUMBER('Score — Comp 1'!E16),'Score — Comp 1'!E16,""),"")</f>
        <v>74</v>
      </c>
    </row>
    <row r="85" spans="1:8">
      <c r="A85" s="28">
        <f>'Snapshot Setup'!$B$4</f>
        <v>46174</v>
      </c>
      <c r="B85" s="26" t="str">
        <f>IF('Snapshot Setup'!B7="","",'Snapshot Setup'!B7)</f>
        <v>Clorox Portfolio (Clorox, Pine-Sol, Purell)</v>
      </c>
      <c r="C85" s="26" t="b">
        <v>0</v>
      </c>
      <c r="D85" s="26" t="s">
        <v>191</v>
      </c>
      <c r="E85" s="26" t="s">
        <v>261</v>
      </c>
      <c r="F85" s="26" t="s">
        <v>263</v>
      </c>
      <c r="G85" s="26" t="s">
        <v>263</v>
      </c>
      <c r="H85" s="15" t="str">
        <f>IFERROR(IF(ISNUMBER('Score — Comp 1'!E17),'Score — Comp 1'!E17,""),"")</f>
        <v/>
      </c>
    </row>
    <row r="86" spans="1:8">
      <c r="A86" s="28">
        <f>'Snapshot Setup'!$B$4</f>
        <v>46174</v>
      </c>
      <c r="B86" s="26" t="str">
        <f>IF('Snapshot Setup'!B7="","",'Snapshot Setup'!B7)</f>
        <v>Clorox Portfolio (Clorox, Pine-Sol, Purell)</v>
      </c>
      <c r="C86" s="26" t="b">
        <v>0</v>
      </c>
      <c r="D86" s="26" t="s">
        <v>191</v>
      </c>
      <c r="E86" s="26" t="s">
        <v>267</v>
      </c>
      <c r="F86" s="26" t="s">
        <v>263</v>
      </c>
      <c r="G86" s="26" t="s">
        <v>263</v>
      </c>
      <c r="H86" s="15" t="str">
        <f>IFERROR(IF(ISNUMBER('Score — Comp 1'!E18),'Score — Comp 1'!E18,""),"")</f>
        <v/>
      </c>
    </row>
    <row r="87" spans="1:8">
      <c r="A87" s="28">
        <f>'Snapshot Setup'!$B$4</f>
        <v>46174</v>
      </c>
      <c r="B87" s="26" t="str">
        <f>IF('Snapshot Setup'!B7="","",'Snapshot Setup'!B7)</f>
        <v>Clorox Portfolio (Clorox, Pine-Sol, Purell)</v>
      </c>
      <c r="C87" s="26" t="b">
        <v>0</v>
      </c>
      <c r="D87" s="26" t="s">
        <v>191</v>
      </c>
      <c r="E87" s="26" t="s">
        <v>272</v>
      </c>
      <c r="F87" s="26" t="s">
        <v>173</v>
      </c>
      <c r="G87" s="26" t="s">
        <v>273</v>
      </c>
      <c r="H87" s="15">
        <f>IFERROR(IF(ISNUMBER('Score — Comp 1'!E19),'Score — Comp 1'!E19,""),"")</f>
        <v>60</v>
      </c>
    </row>
    <row r="88" spans="1:8">
      <c r="A88" s="28">
        <f>'Snapshot Setup'!$B$4</f>
        <v>46174</v>
      </c>
      <c r="B88" s="26" t="str">
        <f>IF('Snapshot Setup'!B7="","",'Snapshot Setup'!B7)</f>
        <v>Clorox Portfolio (Clorox, Pine-Sol, Purell)</v>
      </c>
      <c r="C88" s="26" t="b">
        <v>0</v>
      </c>
      <c r="D88" s="26" t="s">
        <v>191</v>
      </c>
      <c r="E88" s="26" t="s">
        <v>277</v>
      </c>
      <c r="F88" s="26" t="s">
        <v>173</v>
      </c>
      <c r="G88" s="26" t="s">
        <v>278</v>
      </c>
      <c r="H88" s="15">
        <f>IFERROR(IF(ISNUMBER('Score — Comp 1'!E20),'Score — Comp 1'!E20,""),"")</f>
        <v>58</v>
      </c>
    </row>
    <row r="89" spans="1:8">
      <c r="A89" s="28">
        <f>'Snapshot Setup'!$B$4</f>
        <v>46174</v>
      </c>
      <c r="B89" s="26" t="str">
        <f>IF('Snapshot Setup'!B7="","",'Snapshot Setup'!B7)</f>
        <v>Clorox Portfolio (Clorox, Pine-Sol, Purell)</v>
      </c>
      <c r="C89" s="26" t="b">
        <v>0</v>
      </c>
      <c r="D89" s="26" t="s">
        <v>191</v>
      </c>
      <c r="E89" s="26" t="s">
        <v>283</v>
      </c>
      <c r="F89" s="26" t="s">
        <v>170</v>
      </c>
      <c r="G89" s="26" t="s">
        <v>284</v>
      </c>
      <c r="H89" s="15">
        <f>IFERROR(IF(ISNUMBER('Score — Comp 1'!E21),'Score — Comp 1'!E21,""),"")</f>
        <v>74</v>
      </c>
    </row>
    <row r="90" spans="1:8">
      <c r="A90" s="28">
        <f>'Snapshot Setup'!$B$4</f>
        <v>46174</v>
      </c>
      <c r="B90" s="26" t="str">
        <f>IF('Snapshot Setup'!B7="","",'Snapshot Setup'!B7)</f>
        <v>Clorox Portfolio (Clorox, Pine-Sol, Purell)</v>
      </c>
      <c r="C90" s="26" t="b">
        <v>0</v>
      </c>
      <c r="D90" s="26" t="s">
        <v>191</v>
      </c>
      <c r="E90" s="26" t="s">
        <v>288</v>
      </c>
      <c r="F90" s="26" t="s">
        <v>170</v>
      </c>
      <c r="G90" s="26" t="s">
        <v>284</v>
      </c>
      <c r="H90" s="15">
        <f>IFERROR(IF(ISNUMBER('Score — Comp 1'!E22),'Score — Comp 1'!E22,""),"")</f>
        <v>72</v>
      </c>
    </row>
    <row r="91" spans="1:8">
      <c r="A91" s="28">
        <f>'Snapshot Setup'!$B$4</f>
        <v>46174</v>
      </c>
      <c r="B91" s="26" t="str">
        <f>IF('Snapshot Setup'!B7="","",'Snapshot Setup'!B7)</f>
        <v>Clorox Portfolio (Clorox, Pine-Sol, Purell)</v>
      </c>
      <c r="C91" s="26" t="b">
        <v>0</v>
      </c>
      <c r="D91" s="26" t="s">
        <v>191</v>
      </c>
      <c r="E91" s="26" t="s">
        <v>292</v>
      </c>
      <c r="F91" s="26" t="s">
        <v>171</v>
      </c>
      <c r="G91" s="26" t="s">
        <v>194</v>
      </c>
      <c r="H91" s="15">
        <f>IFERROR(IF(ISNUMBER('Score — Comp 1'!E23),'Score — Comp 1'!E23,""),"")</f>
        <v>60</v>
      </c>
    </row>
    <row r="92" spans="1:8">
      <c r="A92" s="28">
        <f>'Snapshot Setup'!$B$4</f>
        <v>46174</v>
      </c>
      <c r="B92" s="26" t="str">
        <f>IF('Snapshot Setup'!B7="","",'Snapshot Setup'!B7)</f>
        <v>Clorox Portfolio (Clorox, Pine-Sol, Purell)</v>
      </c>
      <c r="C92" s="26" t="b">
        <v>0</v>
      </c>
      <c r="D92" s="26" t="s">
        <v>191</v>
      </c>
      <c r="E92" s="26" t="s">
        <v>297</v>
      </c>
      <c r="F92" s="26" t="s">
        <v>171</v>
      </c>
      <c r="G92" s="26" t="s">
        <v>194</v>
      </c>
      <c r="H92" s="15">
        <f>IFERROR(IF(ISNUMBER('Score — Comp 1'!E24),'Score — Comp 1'!E24,""),"")</f>
        <v>64</v>
      </c>
    </row>
    <row r="93" spans="1:8">
      <c r="A93" s="28">
        <f>'Snapshot Setup'!$B$4</f>
        <v>46174</v>
      </c>
      <c r="B93" s="26" t="str">
        <f>IF('Snapshot Setup'!B7="","",'Snapshot Setup'!B7)</f>
        <v>Clorox Portfolio (Clorox, Pine-Sol, Purell)</v>
      </c>
      <c r="C93" s="26" t="b">
        <v>0</v>
      </c>
      <c r="D93" s="26" t="s">
        <v>191</v>
      </c>
      <c r="E93" s="26" t="s">
        <v>302</v>
      </c>
      <c r="F93" s="26" t="s">
        <v>171</v>
      </c>
      <c r="G93" s="26" t="s">
        <v>194</v>
      </c>
      <c r="H93" s="15">
        <f>IFERROR(IF(ISNUMBER('Score — Comp 1'!E25),'Score — Comp 1'!E25,""),"")</f>
        <v>56</v>
      </c>
    </row>
    <row r="94" spans="1:8">
      <c r="A94" s="28">
        <f>'Snapshot Setup'!$B$4</f>
        <v>46174</v>
      </c>
      <c r="B94" s="26" t="str">
        <f>IF('Snapshot Setup'!B7="","",'Snapshot Setup'!B7)</f>
        <v>Clorox Portfolio (Clorox, Pine-Sol, Purell)</v>
      </c>
      <c r="C94" s="26" t="b">
        <v>0</v>
      </c>
      <c r="D94" s="26" t="s">
        <v>191</v>
      </c>
      <c r="E94" s="26" t="s">
        <v>307</v>
      </c>
      <c r="F94" s="26" t="s">
        <v>173</v>
      </c>
      <c r="G94" s="26" t="s">
        <v>241</v>
      </c>
      <c r="H94" s="15">
        <f>IFERROR(IF(ISNUMBER('Score — Comp 1'!E26),'Score — Comp 1'!E26,""),"")</f>
        <v>70</v>
      </c>
    </row>
    <row r="95" spans="1:8">
      <c r="A95" s="28">
        <f>'Snapshot Setup'!$B$4</f>
        <v>46174</v>
      </c>
      <c r="B95" s="26" t="str">
        <f>IF('Snapshot Setup'!B7="","",'Snapshot Setup'!B7)</f>
        <v>Clorox Portfolio (Clorox, Pine-Sol, Purell)</v>
      </c>
      <c r="C95" s="26" t="b">
        <v>0</v>
      </c>
      <c r="D95" s="26" t="s">
        <v>191</v>
      </c>
      <c r="E95" s="26" t="s">
        <v>312</v>
      </c>
      <c r="F95" s="26" t="s">
        <v>170</v>
      </c>
      <c r="G95" s="26" t="s">
        <v>313</v>
      </c>
      <c r="H95" s="15">
        <f>IFERROR(IF(ISNUMBER('Score — Comp 1'!E27),'Score — Comp 1'!E27,""),"")</f>
        <v>36</v>
      </c>
    </row>
    <row r="96" spans="1:8">
      <c r="A96" s="28">
        <f>'Snapshot Setup'!$B$4</f>
        <v>46174</v>
      </c>
      <c r="B96" s="26" t="str">
        <f>IF('Snapshot Setup'!B7="","",'Snapshot Setup'!B7)</f>
        <v>Clorox Portfolio (Clorox, Pine-Sol, Purell)</v>
      </c>
      <c r="C96" s="26" t="b">
        <v>0</v>
      </c>
      <c r="D96" s="26" t="s">
        <v>191</v>
      </c>
      <c r="E96" s="26" t="s">
        <v>318</v>
      </c>
      <c r="F96" s="26" t="s">
        <v>171</v>
      </c>
      <c r="G96" s="26" t="s">
        <v>194</v>
      </c>
      <c r="H96" s="15">
        <f>IFERROR(IF(ISNUMBER('Score — Comp 1'!E28),'Score — Comp 1'!E28,""),"")</f>
        <v>42</v>
      </c>
    </row>
    <row r="97" spans="1:8">
      <c r="A97" s="28">
        <f>'Snapshot Setup'!$B$4</f>
        <v>46174</v>
      </c>
      <c r="B97" s="26" t="str">
        <f>IF('Snapshot Setup'!B7="","",'Snapshot Setup'!B7)</f>
        <v>Clorox Portfolio (Clorox, Pine-Sol, Purell)</v>
      </c>
      <c r="C97" s="26" t="b">
        <v>0</v>
      </c>
      <c r="D97" s="26" t="s">
        <v>323</v>
      </c>
      <c r="E97" s="26" t="s">
        <v>324</v>
      </c>
      <c r="F97" s="26" t="s">
        <v>172</v>
      </c>
      <c r="G97" s="26" t="s">
        <v>325</v>
      </c>
      <c r="H97" s="15">
        <f>IFERROR(IF(ISNUMBER('Score — Comp 1'!E29),'Score — Comp 1'!E29,""),"")</f>
        <v>64</v>
      </c>
    </row>
    <row r="98" spans="1:8">
      <c r="A98" s="28">
        <f>'Snapshot Setup'!$B$4</f>
        <v>46174</v>
      </c>
      <c r="B98" s="26" t="str">
        <f>IF('Snapshot Setup'!B7="","",'Snapshot Setup'!B7)</f>
        <v>Clorox Portfolio (Clorox, Pine-Sol, Purell)</v>
      </c>
      <c r="C98" s="26" t="b">
        <v>0</v>
      </c>
      <c r="D98" s="26" t="s">
        <v>323</v>
      </c>
      <c r="E98" s="26" t="s">
        <v>329</v>
      </c>
      <c r="F98" s="26" t="s">
        <v>171</v>
      </c>
      <c r="G98" s="26" t="s">
        <v>330</v>
      </c>
      <c r="H98" s="15">
        <f>IFERROR(IF(ISNUMBER('Score — Comp 1'!E30),'Score — Comp 1'!E30,""),"")</f>
        <v>64</v>
      </c>
    </row>
    <row r="99" spans="1:8">
      <c r="A99" s="28">
        <f>'Snapshot Setup'!$B$4</f>
        <v>46174</v>
      </c>
      <c r="B99" s="26" t="str">
        <f>IF('Snapshot Setup'!B7="","",'Snapshot Setup'!B7)</f>
        <v>Clorox Portfolio (Clorox, Pine-Sol, Purell)</v>
      </c>
      <c r="C99" s="26" t="b">
        <v>0</v>
      </c>
      <c r="D99" s="26" t="s">
        <v>323</v>
      </c>
      <c r="E99" s="26" t="s">
        <v>333</v>
      </c>
      <c r="F99" s="26" t="s">
        <v>172</v>
      </c>
      <c r="G99" s="26" t="s">
        <v>334</v>
      </c>
      <c r="H99" s="15">
        <f>IFERROR(IF(ISNUMBER('Score — Comp 1'!E31),'Score — Comp 1'!E31,""),"")</f>
        <v>66</v>
      </c>
    </row>
    <row r="100" spans="1:8">
      <c r="A100" s="28">
        <f>'Snapshot Setup'!$B$4</f>
        <v>46174</v>
      </c>
      <c r="B100" s="26" t="str">
        <f>IF('Snapshot Setup'!B7="","",'Snapshot Setup'!B7)</f>
        <v>Clorox Portfolio (Clorox, Pine-Sol, Purell)</v>
      </c>
      <c r="C100" s="26" t="b">
        <v>0</v>
      </c>
      <c r="D100" s="26" t="s">
        <v>323</v>
      </c>
      <c r="E100" s="26" t="s">
        <v>339</v>
      </c>
      <c r="F100" s="26" t="s">
        <v>172</v>
      </c>
      <c r="G100" s="26" t="s">
        <v>325</v>
      </c>
      <c r="H100" s="15" t="str">
        <f>IFERROR(IF(ISNUMBER('Score — Comp 1'!E32),'Score — Comp 1'!E32,""),"")</f>
        <v/>
      </c>
    </row>
    <row r="101" spans="1:8">
      <c r="A101" s="28">
        <f>'Snapshot Setup'!$B$4</f>
        <v>46174</v>
      </c>
      <c r="B101" s="26" t="str">
        <f>IF('Snapshot Setup'!B7="","",'Snapshot Setup'!B7)</f>
        <v>Clorox Portfolio (Clorox, Pine-Sol, Purell)</v>
      </c>
      <c r="C101" s="26" t="b">
        <v>0</v>
      </c>
      <c r="D101" s="26" t="s">
        <v>323</v>
      </c>
      <c r="E101" s="26" t="s">
        <v>343</v>
      </c>
      <c r="F101" s="26" t="s">
        <v>171</v>
      </c>
      <c r="G101" s="26" t="s">
        <v>330</v>
      </c>
      <c r="H101" s="15">
        <f>IFERROR(IF(ISNUMBER('Score — Comp 1'!E33),'Score — Comp 1'!E33,""),"")</f>
        <v>80</v>
      </c>
    </row>
    <row r="102" spans="1:8">
      <c r="A102" s="28">
        <f>'Snapshot Setup'!$B$4</f>
        <v>46174</v>
      </c>
      <c r="B102" s="26" t="str">
        <f>IF('Snapshot Setup'!B7="","",'Snapshot Setup'!B7)</f>
        <v>Clorox Portfolio (Clorox, Pine-Sol, Purell)</v>
      </c>
      <c r="C102" s="26" t="b">
        <v>0</v>
      </c>
      <c r="D102" s="26" t="s">
        <v>323</v>
      </c>
      <c r="E102" s="26" t="s">
        <v>347</v>
      </c>
      <c r="F102" s="26" t="s">
        <v>170</v>
      </c>
      <c r="G102" s="26" t="s">
        <v>284</v>
      </c>
      <c r="H102" s="15">
        <f>IFERROR(IF(ISNUMBER('Score — Comp 1'!E34),'Score — Comp 1'!E34,""),"")</f>
        <v>84</v>
      </c>
    </row>
    <row r="103" spans="1:8">
      <c r="A103" s="28">
        <f>'Snapshot Setup'!$B$4</f>
        <v>46174</v>
      </c>
      <c r="B103" s="26" t="str">
        <f>IF('Snapshot Setup'!B7="","",'Snapshot Setup'!B7)</f>
        <v>Clorox Portfolio (Clorox, Pine-Sol, Purell)</v>
      </c>
      <c r="C103" s="26" t="b">
        <v>0</v>
      </c>
      <c r="D103" s="26" t="s">
        <v>323</v>
      </c>
      <c r="E103" s="26" t="s">
        <v>352</v>
      </c>
      <c r="F103" s="26" t="s">
        <v>170</v>
      </c>
      <c r="G103" s="26" t="s">
        <v>353</v>
      </c>
      <c r="H103" s="15">
        <f>IFERROR(IF(ISNUMBER('Score — Comp 1'!E35),'Score — Comp 1'!E35,""),"")</f>
        <v>78</v>
      </c>
    </row>
    <row r="104" spans="1:8">
      <c r="A104" s="28">
        <f>'Snapshot Setup'!$B$4</f>
        <v>46174</v>
      </c>
      <c r="B104" s="26" t="str">
        <f>IF('Snapshot Setup'!B7="","",'Snapshot Setup'!B7)</f>
        <v>Clorox Portfolio (Clorox, Pine-Sol, Purell)</v>
      </c>
      <c r="C104" s="26" t="b">
        <v>0</v>
      </c>
      <c r="D104" s="26" t="s">
        <v>323</v>
      </c>
      <c r="E104" s="26" t="s">
        <v>358</v>
      </c>
      <c r="F104" s="26" t="s">
        <v>170</v>
      </c>
      <c r="G104" s="26" t="s">
        <v>284</v>
      </c>
      <c r="H104" s="15">
        <f>IFERROR(IF(ISNUMBER('Score — Comp 1'!E36),'Score — Comp 1'!E36,""),"")</f>
        <v>66</v>
      </c>
    </row>
    <row r="105" spans="1:8">
      <c r="A105" s="28">
        <f>'Snapshot Setup'!$B$4</f>
        <v>46174</v>
      </c>
      <c r="B105" s="26" t="str">
        <f>IF('Snapshot Setup'!B7="","",'Snapshot Setup'!B7)</f>
        <v>Clorox Portfolio (Clorox, Pine-Sol, Purell)</v>
      </c>
      <c r="C105" s="26" t="b">
        <v>0</v>
      </c>
      <c r="D105" s="26" t="s">
        <v>323</v>
      </c>
      <c r="E105" s="26" t="s">
        <v>363</v>
      </c>
      <c r="F105" s="26" t="s">
        <v>170</v>
      </c>
      <c r="G105" s="26" t="s">
        <v>364</v>
      </c>
      <c r="H105" s="15">
        <f>IFERROR(IF(ISNUMBER('Score — Comp 1'!E37),'Score — Comp 1'!E37,""),"")</f>
        <v>70</v>
      </c>
    </row>
    <row r="106" spans="1:8">
      <c r="A106" s="28">
        <f>'Snapshot Setup'!$B$4</f>
        <v>46174</v>
      </c>
      <c r="B106" s="26" t="str">
        <f>IF('Snapshot Setup'!B7="","",'Snapshot Setup'!B7)</f>
        <v>Clorox Portfolio (Clorox, Pine-Sol, Purell)</v>
      </c>
      <c r="C106" s="26" t="b">
        <v>0</v>
      </c>
      <c r="D106" s="26" t="s">
        <v>323</v>
      </c>
      <c r="E106" s="26" t="s">
        <v>369</v>
      </c>
      <c r="F106" s="26" t="s">
        <v>170</v>
      </c>
      <c r="G106" s="26" t="s">
        <v>313</v>
      </c>
      <c r="H106" s="15">
        <f>IFERROR(IF(ISNUMBER('Score — Comp 1'!E38),'Score — Comp 1'!E38,""),"")</f>
        <v>70</v>
      </c>
    </row>
    <row r="107" spans="1:8">
      <c r="A107" s="28">
        <f>'Snapshot Setup'!$B$4</f>
        <v>46174</v>
      </c>
      <c r="B107" s="26" t="str">
        <f>IF('Snapshot Setup'!B7="","",'Snapshot Setup'!B7)</f>
        <v>Clorox Portfolio (Clorox, Pine-Sol, Purell)</v>
      </c>
      <c r="C107" s="26" t="b">
        <v>0</v>
      </c>
      <c r="D107" s="26" t="s">
        <v>323</v>
      </c>
      <c r="E107" s="26" t="s">
        <v>372</v>
      </c>
      <c r="F107" s="26" t="s">
        <v>170</v>
      </c>
      <c r="G107" s="26" t="s">
        <v>284</v>
      </c>
      <c r="H107" s="15">
        <f>IFERROR(IF(ISNUMBER('Score — Comp 1'!E39),'Score — Comp 1'!E39,""),"")</f>
        <v>72</v>
      </c>
    </row>
    <row r="108" spans="1:8">
      <c r="A108" s="28">
        <f>'Snapshot Setup'!$B$4</f>
        <v>46174</v>
      </c>
      <c r="B108" s="26" t="str">
        <f>IF('Snapshot Setup'!B7="","",'Snapshot Setup'!B7)</f>
        <v>Clorox Portfolio (Clorox, Pine-Sol, Purell)</v>
      </c>
      <c r="C108" s="26" t="b">
        <v>0</v>
      </c>
      <c r="D108" s="26" t="s">
        <v>323</v>
      </c>
      <c r="E108" s="26" t="s">
        <v>377</v>
      </c>
      <c r="F108" s="26" t="s">
        <v>170</v>
      </c>
      <c r="G108" s="26" t="s">
        <v>284</v>
      </c>
      <c r="H108" s="15">
        <f>IFERROR(IF(ISNUMBER('Score — Comp 1'!E40),'Score — Comp 1'!E40,""),"")</f>
        <v>64</v>
      </c>
    </row>
    <row r="109" spans="1:8">
      <c r="A109" s="28">
        <f>'Snapshot Setup'!$B$4</f>
        <v>46174</v>
      </c>
      <c r="B109" s="26" t="str">
        <f>IF('Snapshot Setup'!B7="","",'Snapshot Setup'!B7)</f>
        <v>Clorox Portfolio (Clorox, Pine-Sol, Purell)</v>
      </c>
      <c r="C109" s="26" t="b">
        <v>0</v>
      </c>
      <c r="D109" s="26" t="s">
        <v>323</v>
      </c>
      <c r="E109" s="26" t="s">
        <v>381</v>
      </c>
      <c r="F109" s="26" t="s">
        <v>170</v>
      </c>
      <c r="G109" s="26" t="s">
        <v>364</v>
      </c>
      <c r="H109" s="15">
        <f>IFERROR(IF(ISNUMBER('Score — Comp 1'!E41),'Score — Comp 1'!E41,""),"")</f>
        <v>68</v>
      </c>
    </row>
    <row r="110" spans="1:8">
      <c r="A110" s="28">
        <f>'Snapshot Setup'!$B$4</f>
        <v>46174</v>
      </c>
      <c r="B110" s="26" t="str">
        <f>IF('Snapshot Setup'!B7="","",'Snapshot Setup'!B7)</f>
        <v>Clorox Portfolio (Clorox, Pine-Sol, Purell)</v>
      </c>
      <c r="C110" s="26" t="b">
        <v>0</v>
      </c>
      <c r="D110" s="26" t="s">
        <v>323</v>
      </c>
      <c r="E110" s="26" t="s">
        <v>384</v>
      </c>
      <c r="F110" s="26" t="s">
        <v>170</v>
      </c>
      <c r="G110" s="26" t="s">
        <v>313</v>
      </c>
      <c r="H110" s="15">
        <f>IFERROR(IF(ISNUMBER('Score — Comp 1'!E42),'Score — Comp 1'!E42,""),"")</f>
        <v>66</v>
      </c>
    </row>
    <row r="111" spans="1:8">
      <c r="A111" s="28">
        <f>'Snapshot Setup'!$B$4</f>
        <v>46174</v>
      </c>
      <c r="B111" s="26" t="str">
        <f>IF('Snapshot Setup'!B7="","",'Snapshot Setup'!B7)</f>
        <v>Clorox Portfolio (Clorox, Pine-Sol, Purell)</v>
      </c>
      <c r="C111" s="26" t="b">
        <v>0</v>
      </c>
      <c r="D111" s="26" t="s">
        <v>323</v>
      </c>
      <c r="E111" s="26" t="s">
        <v>388</v>
      </c>
      <c r="F111" s="26" t="s">
        <v>170</v>
      </c>
      <c r="G111" s="26" t="s">
        <v>389</v>
      </c>
      <c r="H111" s="15">
        <f>IFERROR(IF(ISNUMBER('Score — Comp 1'!E43),'Score — Comp 1'!E43,""),"")</f>
        <v>56</v>
      </c>
    </row>
    <row r="112" spans="1:8">
      <c r="A112" s="28">
        <f>'Snapshot Setup'!$B$4</f>
        <v>46174</v>
      </c>
      <c r="B112" s="26" t="str">
        <f>IF('Snapshot Setup'!B7="","",'Snapshot Setup'!B7)</f>
        <v>Clorox Portfolio (Clorox, Pine-Sol, Purell)</v>
      </c>
      <c r="C112" s="26" t="b">
        <v>0</v>
      </c>
      <c r="D112" s="26" t="s">
        <v>323</v>
      </c>
      <c r="E112" s="26" t="s">
        <v>393</v>
      </c>
      <c r="F112" s="26" t="s">
        <v>171</v>
      </c>
      <c r="G112" s="26" t="s">
        <v>251</v>
      </c>
      <c r="H112" s="15">
        <f>IFERROR(IF(ISNUMBER('Score — Comp 1'!E44),'Score — Comp 1'!E44,""),"")</f>
        <v>72</v>
      </c>
    </row>
    <row r="113" spans="1:8">
      <c r="A113" s="28">
        <f>'Snapshot Setup'!$B$4</f>
        <v>46174</v>
      </c>
      <c r="B113" s="26" t="str">
        <f>IF('Snapshot Setup'!B7="","",'Snapshot Setup'!B7)</f>
        <v>Clorox Portfolio (Clorox, Pine-Sol, Purell)</v>
      </c>
      <c r="C113" s="26" t="b">
        <v>0</v>
      </c>
      <c r="D113" s="26" t="s">
        <v>323</v>
      </c>
      <c r="E113" s="26" t="s">
        <v>398</v>
      </c>
      <c r="F113" s="26" t="s">
        <v>170</v>
      </c>
      <c r="G113" s="26" t="s">
        <v>364</v>
      </c>
      <c r="H113" s="15">
        <f>IFERROR(IF(ISNUMBER('Score — Comp 1'!E45),'Score — Comp 1'!E45,""),"")</f>
        <v>84</v>
      </c>
    </row>
    <row r="114" spans="1:8">
      <c r="A114" s="28">
        <f>'Snapshot Setup'!$B$4</f>
        <v>46174</v>
      </c>
      <c r="B114" s="26" t="str">
        <f>IF('Snapshot Setup'!B7="","",'Snapshot Setup'!B7)</f>
        <v>Clorox Portfolio (Clorox, Pine-Sol, Purell)</v>
      </c>
      <c r="C114" s="26" t="b">
        <v>0</v>
      </c>
      <c r="D114" s="26" t="s">
        <v>323</v>
      </c>
      <c r="E114" s="26" t="s">
        <v>403</v>
      </c>
      <c r="F114" s="26" t="s">
        <v>172</v>
      </c>
      <c r="G114" s="26" t="s">
        <v>325</v>
      </c>
      <c r="H114" s="15">
        <f>IFERROR(IF(ISNUMBER('Score — Comp 1'!E46),'Score — Comp 1'!E46,""),"")</f>
        <v>72</v>
      </c>
    </row>
    <row r="115" spans="1:8">
      <c r="A115" s="28">
        <f>'Snapshot Setup'!$B$4</f>
        <v>46174</v>
      </c>
      <c r="B115" s="26" t="str">
        <f>IF('Snapshot Setup'!B7="","",'Snapshot Setup'!B7)</f>
        <v>Clorox Portfolio (Clorox, Pine-Sol, Purell)</v>
      </c>
      <c r="C115" s="26" t="b">
        <v>0</v>
      </c>
      <c r="D115" s="26" t="s">
        <v>323</v>
      </c>
      <c r="E115" s="26" t="s">
        <v>407</v>
      </c>
      <c r="F115" s="26" t="s">
        <v>170</v>
      </c>
      <c r="G115" s="26" t="s">
        <v>389</v>
      </c>
      <c r="H115" s="15" t="str">
        <f>IFERROR(IF(ISNUMBER('Score — Comp 1'!E47),'Score — Comp 1'!E47,""),"")</f>
        <v/>
      </c>
    </row>
    <row r="116" spans="1:8">
      <c r="A116" s="28">
        <f>'Snapshot Setup'!$B$4</f>
        <v>46174</v>
      </c>
      <c r="B116" s="26" t="str">
        <f>IF('Snapshot Setup'!B7="","",'Snapshot Setup'!B7)</f>
        <v>Clorox Portfolio (Clorox, Pine-Sol, Purell)</v>
      </c>
      <c r="C116" s="26" t="b">
        <v>0</v>
      </c>
      <c r="D116" s="26" t="s">
        <v>323</v>
      </c>
      <c r="E116" s="26" t="s">
        <v>411</v>
      </c>
      <c r="F116" s="26" t="s">
        <v>170</v>
      </c>
      <c r="G116" s="26" t="s">
        <v>389</v>
      </c>
      <c r="H116" s="15">
        <f>IFERROR(IF(ISNUMBER('Score — Comp 1'!E48),'Score — Comp 1'!E48,""),"")</f>
        <v>70</v>
      </c>
    </row>
    <row r="117" spans="1:8">
      <c r="A117" s="28">
        <f>'Snapshot Setup'!$B$4</f>
        <v>46174</v>
      </c>
      <c r="B117" s="26" t="str">
        <f>IF('Snapshot Setup'!B7="","",'Snapshot Setup'!B7)</f>
        <v>Clorox Portfolio (Clorox, Pine-Sol, Purell)</v>
      </c>
      <c r="C117" s="26" t="b">
        <v>0</v>
      </c>
      <c r="D117" s="26" t="s">
        <v>416</v>
      </c>
      <c r="E117" s="26" t="s">
        <v>417</v>
      </c>
      <c r="F117" s="26" t="s">
        <v>173</v>
      </c>
      <c r="G117" s="26" t="s">
        <v>224</v>
      </c>
      <c r="H117" s="15">
        <f>IFERROR(IF(ISNUMBER('Score — Comp 1'!E49),'Score — Comp 1'!E49,""),"")</f>
        <v>66</v>
      </c>
    </row>
    <row r="118" spans="1:8">
      <c r="A118" s="28">
        <f>'Snapshot Setup'!$B$4</f>
        <v>46174</v>
      </c>
      <c r="B118" s="26" t="str">
        <f>IF('Snapshot Setup'!B7="","",'Snapshot Setup'!B7)</f>
        <v>Clorox Portfolio (Clorox, Pine-Sol, Purell)</v>
      </c>
      <c r="C118" s="26" t="b">
        <v>0</v>
      </c>
      <c r="D118" s="26" t="s">
        <v>416</v>
      </c>
      <c r="E118" s="26" t="s">
        <v>422</v>
      </c>
      <c r="F118" s="26" t="s">
        <v>263</v>
      </c>
      <c r="G118" s="26" t="s">
        <v>263</v>
      </c>
      <c r="H118" s="15" t="str">
        <f>IFERROR(IF(ISNUMBER('Score — Comp 1'!E50),'Score — Comp 1'!E50,""),"")</f>
        <v/>
      </c>
    </row>
    <row r="119" spans="1:8">
      <c r="A119" s="28">
        <f>'Snapshot Setup'!$B$4</f>
        <v>46174</v>
      </c>
      <c r="B119" s="26" t="str">
        <f>IF('Snapshot Setup'!B7="","",'Snapshot Setup'!B7)</f>
        <v>Clorox Portfolio (Clorox, Pine-Sol, Purell)</v>
      </c>
      <c r="C119" s="26" t="b">
        <v>0</v>
      </c>
      <c r="D119" s="26" t="s">
        <v>416</v>
      </c>
      <c r="E119" s="26" t="s">
        <v>426</v>
      </c>
      <c r="F119" s="26" t="s">
        <v>263</v>
      </c>
      <c r="G119" s="26" t="s">
        <v>263</v>
      </c>
      <c r="H119" s="15" t="str">
        <f>IFERROR(IF(ISNUMBER('Score — Comp 1'!E51),'Score — Comp 1'!E51,""),"")</f>
        <v/>
      </c>
    </row>
    <row r="120" spans="1:8">
      <c r="A120" s="28">
        <f>'Snapshot Setup'!$B$4</f>
        <v>46174</v>
      </c>
      <c r="B120" s="26" t="str">
        <f>IF('Snapshot Setup'!B7="","",'Snapshot Setup'!B7)</f>
        <v>Clorox Portfolio (Clorox, Pine-Sol, Purell)</v>
      </c>
      <c r="C120" s="26" t="b">
        <v>0</v>
      </c>
      <c r="D120" s="26" t="s">
        <v>416</v>
      </c>
      <c r="E120" s="26" t="s">
        <v>429</v>
      </c>
      <c r="F120" s="26" t="s">
        <v>263</v>
      </c>
      <c r="G120" s="26" t="s">
        <v>263</v>
      </c>
      <c r="H120" s="15" t="str">
        <f>IFERROR(IF(ISNUMBER('Score — Comp 1'!E52),'Score — Comp 1'!E52,""),"")</f>
        <v/>
      </c>
    </row>
    <row r="121" spans="1:8">
      <c r="A121" s="28">
        <f>'Snapshot Setup'!$B$4</f>
        <v>46174</v>
      </c>
      <c r="B121" s="26" t="str">
        <f>IF('Snapshot Setup'!B7="","",'Snapshot Setup'!B7)</f>
        <v>Clorox Portfolio (Clorox, Pine-Sol, Purell)</v>
      </c>
      <c r="C121" s="26" t="b">
        <v>0</v>
      </c>
      <c r="D121" s="26" t="s">
        <v>416</v>
      </c>
      <c r="E121" s="26" t="s">
        <v>432</v>
      </c>
      <c r="F121" s="26" t="s">
        <v>263</v>
      </c>
      <c r="G121" s="26" t="s">
        <v>263</v>
      </c>
      <c r="H121" s="15" t="str">
        <f>IFERROR(IF(ISNUMBER('Score — Comp 1'!E53),'Score — Comp 1'!E53,""),"")</f>
        <v/>
      </c>
    </row>
    <row r="122" spans="1:8">
      <c r="A122" s="28">
        <f>'Snapshot Setup'!$B$4</f>
        <v>46174</v>
      </c>
      <c r="B122" s="26" t="str">
        <f>IF('Snapshot Setup'!B7="","",'Snapshot Setup'!B7)</f>
        <v>Clorox Portfolio (Clorox, Pine-Sol, Purell)</v>
      </c>
      <c r="C122" s="26" t="b">
        <v>0</v>
      </c>
      <c r="D122" s="26" t="s">
        <v>416</v>
      </c>
      <c r="E122" s="26" t="s">
        <v>436</v>
      </c>
      <c r="F122" s="26" t="s">
        <v>263</v>
      </c>
      <c r="G122" s="26" t="s">
        <v>263</v>
      </c>
      <c r="H122" s="15" t="str">
        <f>IFERROR(IF(ISNUMBER('Score — Comp 1'!E54),'Score — Comp 1'!E54,""),"")</f>
        <v/>
      </c>
    </row>
    <row r="123" spans="1:8">
      <c r="A123" s="28">
        <f>'Snapshot Setup'!$B$4</f>
        <v>46174</v>
      </c>
      <c r="B123" s="26" t="str">
        <f>IF('Snapshot Setup'!B7="","",'Snapshot Setup'!B7)</f>
        <v>Clorox Portfolio (Clorox, Pine-Sol, Purell)</v>
      </c>
      <c r="C123" s="26" t="b">
        <v>0</v>
      </c>
      <c r="D123" s="26" t="s">
        <v>416</v>
      </c>
      <c r="E123" s="26" t="s">
        <v>439</v>
      </c>
      <c r="F123" s="26" t="s">
        <v>263</v>
      </c>
      <c r="G123" s="26" t="s">
        <v>263</v>
      </c>
      <c r="H123" s="15" t="str">
        <f>IFERROR(IF(ISNUMBER('Score — Comp 1'!E55),'Score — Comp 1'!E55,""),"")</f>
        <v/>
      </c>
    </row>
    <row r="124" spans="1:8">
      <c r="A124" s="28">
        <f>'Snapshot Setup'!$B$4</f>
        <v>46174</v>
      </c>
      <c r="B124" s="26" t="str">
        <f>IF('Snapshot Setup'!B7="","",'Snapshot Setup'!B7)</f>
        <v>Clorox Portfolio (Clorox, Pine-Sol, Purell)</v>
      </c>
      <c r="C124" s="26" t="b">
        <v>0</v>
      </c>
      <c r="D124" s="26" t="s">
        <v>416</v>
      </c>
      <c r="E124" s="26" t="s">
        <v>442</v>
      </c>
      <c r="F124" s="26" t="s">
        <v>263</v>
      </c>
      <c r="G124" s="26" t="s">
        <v>263</v>
      </c>
      <c r="H124" s="15" t="str">
        <f>IFERROR(IF(ISNUMBER('Score — Comp 1'!E56),'Score — Comp 1'!E56,""),"")</f>
        <v/>
      </c>
    </row>
    <row r="125" spans="1:8">
      <c r="A125" s="28">
        <f>'Snapshot Setup'!$B$4</f>
        <v>46174</v>
      </c>
      <c r="B125" s="26" t="str">
        <f>IF('Snapshot Setup'!B7="","",'Snapshot Setup'!B7)</f>
        <v>Clorox Portfolio (Clorox, Pine-Sol, Purell)</v>
      </c>
      <c r="C125" s="26" t="b">
        <v>0</v>
      </c>
      <c r="D125" s="26" t="s">
        <v>416</v>
      </c>
      <c r="E125" s="26" t="s">
        <v>445</v>
      </c>
      <c r="F125" s="26" t="s">
        <v>263</v>
      </c>
      <c r="G125" s="26" t="s">
        <v>263</v>
      </c>
      <c r="H125" s="15" t="str">
        <f>IFERROR(IF(ISNUMBER('Score — Comp 1'!E57),'Score — Comp 1'!E57,""),"")</f>
        <v/>
      </c>
    </row>
    <row r="126" spans="1:8">
      <c r="A126" s="28">
        <f>'Snapshot Setup'!$B$4</f>
        <v>46174</v>
      </c>
      <c r="B126" s="26" t="str">
        <f>IF('Snapshot Setup'!B7="","",'Snapshot Setup'!B7)</f>
        <v>Clorox Portfolio (Clorox, Pine-Sol, Purell)</v>
      </c>
      <c r="C126" s="26" t="b">
        <v>0</v>
      </c>
      <c r="D126" s="26" t="s">
        <v>416</v>
      </c>
      <c r="E126" s="26" t="s">
        <v>448</v>
      </c>
      <c r="F126" s="26" t="s">
        <v>173</v>
      </c>
      <c r="G126" s="26" t="s">
        <v>449</v>
      </c>
      <c r="H126" s="15" t="str">
        <f>IFERROR(IF(ISNUMBER('Score — Comp 1'!E58),'Score — Comp 1'!E58,""),"")</f>
        <v/>
      </c>
    </row>
    <row r="127" spans="1:8">
      <c r="A127" s="28">
        <f>'Snapshot Setup'!$B$4</f>
        <v>46174</v>
      </c>
      <c r="B127" s="26" t="str">
        <f>IF('Snapshot Setup'!B7="","",'Snapshot Setup'!B7)</f>
        <v>Clorox Portfolio (Clorox, Pine-Sol, Purell)</v>
      </c>
      <c r="C127" s="26" t="b">
        <v>0</v>
      </c>
      <c r="D127" s="26" t="s">
        <v>416</v>
      </c>
      <c r="E127" s="26" t="s">
        <v>452</v>
      </c>
      <c r="F127" s="26" t="s">
        <v>173</v>
      </c>
      <c r="G127" s="26" t="s">
        <v>449</v>
      </c>
      <c r="H127" s="15">
        <f>IFERROR(IF(ISNUMBER('Score — Comp 1'!E59),'Score — Comp 1'!E59,""),"")</f>
        <v>60</v>
      </c>
    </row>
    <row r="128" spans="1:8">
      <c r="A128" s="28">
        <f>'Snapshot Setup'!$B$4</f>
        <v>46174</v>
      </c>
      <c r="B128" s="26" t="str">
        <f>IF('Snapshot Setup'!B7="","",'Snapshot Setup'!B7)</f>
        <v>Clorox Portfolio (Clorox, Pine-Sol, Purell)</v>
      </c>
      <c r="C128" s="26" t="b">
        <v>0</v>
      </c>
      <c r="D128" s="26" t="s">
        <v>457</v>
      </c>
      <c r="E128" s="26" t="s">
        <v>458</v>
      </c>
      <c r="F128" s="26" t="s">
        <v>170</v>
      </c>
      <c r="G128" s="26" t="s">
        <v>353</v>
      </c>
      <c r="H128" s="15">
        <f>IFERROR(IF(ISNUMBER('Score — Comp 1'!E60),'Score — Comp 1'!E60,""),"")</f>
        <v>72</v>
      </c>
    </row>
    <row r="129" spans="1:8">
      <c r="A129" s="28">
        <f>'Snapshot Setup'!$B$4</f>
        <v>46174</v>
      </c>
      <c r="B129" s="26" t="str">
        <f>IF('Snapshot Setup'!B7="","",'Snapshot Setup'!B7)</f>
        <v>Clorox Portfolio (Clorox, Pine-Sol, Purell)</v>
      </c>
      <c r="C129" s="26" t="b">
        <v>0</v>
      </c>
      <c r="D129" s="26" t="s">
        <v>457</v>
      </c>
      <c r="E129" s="26" t="s">
        <v>462</v>
      </c>
      <c r="F129" s="26" t="s">
        <v>263</v>
      </c>
      <c r="G129" s="26" t="s">
        <v>263</v>
      </c>
      <c r="H129" s="15" t="str">
        <f>IFERROR(IF(ISNUMBER('Score — Comp 1'!E61),'Score — Comp 1'!E61,""),"")</f>
        <v/>
      </c>
    </row>
    <row r="130" spans="1:8">
      <c r="A130" s="28">
        <f>'Snapshot Setup'!$B$4</f>
        <v>46174</v>
      </c>
      <c r="B130" s="26" t="str">
        <f>IF('Snapshot Setup'!B7="","",'Snapshot Setup'!B7)</f>
        <v>Clorox Portfolio (Clorox, Pine-Sol, Purell)</v>
      </c>
      <c r="C130" s="26" t="b">
        <v>0</v>
      </c>
      <c r="D130" s="26" t="s">
        <v>457</v>
      </c>
      <c r="E130" s="26" t="s">
        <v>465</v>
      </c>
      <c r="F130" s="26" t="s">
        <v>173</v>
      </c>
      <c r="G130" s="26" t="s">
        <v>278</v>
      </c>
      <c r="H130" s="15">
        <f>IFERROR(IF(ISNUMBER('Score — Comp 1'!E62),'Score — Comp 1'!E62,""),"")</f>
        <v>28</v>
      </c>
    </row>
    <row r="131" spans="1:8">
      <c r="A131" s="28">
        <f>'Snapshot Setup'!$B$4</f>
        <v>46174</v>
      </c>
      <c r="B131" s="26" t="str">
        <f>IF('Snapshot Setup'!B7="","",'Snapshot Setup'!B7)</f>
        <v>Clorox Portfolio (Clorox, Pine-Sol, Purell)</v>
      </c>
      <c r="C131" s="26" t="b">
        <v>0</v>
      </c>
      <c r="D131" s="26" t="s">
        <v>457</v>
      </c>
      <c r="E131" s="26" t="s">
        <v>469</v>
      </c>
      <c r="F131" s="26" t="s">
        <v>173</v>
      </c>
      <c r="G131" s="26" t="s">
        <v>278</v>
      </c>
      <c r="H131" s="15">
        <f>IFERROR(IF(ISNUMBER('Score — Comp 1'!E63),'Score — Comp 1'!E63,""),"")</f>
        <v>32</v>
      </c>
    </row>
    <row r="132" spans="1:8">
      <c r="A132" s="28">
        <f>'Snapshot Setup'!$B$4</f>
        <v>46174</v>
      </c>
      <c r="B132" s="26" t="str">
        <f>IF('Snapshot Setup'!B7="","",'Snapshot Setup'!B7)</f>
        <v>Clorox Portfolio (Clorox, Pine-Sol, Purell)</v>
      </c>
      <c r="C132" s="26" t="b">
        <v>0</v>
      </c>
      <c r="D132" s="26" t="s">
        <v>457</v>
      </c>
      <c r="E132" s="26" t="s">
        <v>473</v>
      </c>
      <c r="F132" s="26" t="s">
        <v>172</v>
      </c>
      <c r="G132" s="26" t="s">
        <v>334</v>
      </c>
      <c r="H132" s="15">
        <f>IFERROR(IF(ISNUMBER('Score — Comp 1'!E64),'Score — Comp 1'!E64,""),"")</f>
        <v>36</v>
      </c>
    </row>
    <row r="133" spans="1:8">
      <c r="A133" s="28">
        <f>'Snapshot Setup'!$B$4</f>
        <v>46174</v>
      </c>
      <c r="B133" s="26" t="str">
        <f>IF('Snapshot Setup'!B7="","",'Snapshot Setup'!B7)</f>
        <v>Clorox Portfolio (Clorox, Pine-Sol, Purell)</v>
      </c>
      <c r="C133" s="26" t="b">
        <v>0</v>
      </c>
      <c r="D133" s="26" t="s">
        <v>457</v>
      </c>
      <c r="E133" s="26" t="s">
        <v>476</v>
      </c>
      <c r="F133" s="26" t="s">
        <v>172</v>
      </c>
      <c r="G133" s="26" t="s">
        <v>477</v>
      </c>
      <c r="H133" s="15">
        <f>IFERROR(IF(ISNUMBER('Score — Comp 1'!E65),'Score — Comp 1'!E65,""),"")</f>
        <v>22</v>
      </c>
    </row>
    <row r="134" spans="1:8">
      <c r="A134" s="28">
        <f>'Snapshot Setup'!$B$4</f>
        <v>46174</v>
      </c>
      <c r="B134" s="26" t="str">
        <f>IF('Snapshot Setup'!B7="","",'Snapshot Setup'!B7)</f>
        <v>Clorox Portfolio (Clorox, Pine-Sol, Purell)</v>
      </c>
      <c r="C134" s="26" t="b">
        <v>0</v>
      </c>
      <c r="D134" s="26" t="s">
        <v>457</v>
      </c>
      <c r="E134" s="26" t="s">
        <v>480</v>
      </c>
      <c r="F134" s="26" t="s">
        <v>173</v>
      </c>
      <c r="G134" s="26" t="s">
        <v>278</v>
      </c>
      <c r="H134" s="15">
        <f>IFERROR(IF(ISNUMBER('Score — Comp 1'!E66),'Score — Comp 1'!E66,""),"")</f>
        <v>28</v>
      </c>
    </row>
    <row r="135" spans="1:8">
      <c r="A135" s="28">
        <f>'Snapshot Setup'!$B$4</f>
        <v>46174</v>
      </c>
      <c r="B135" s="26" t="str">
        <f>IF('Snapshot Setup'!B7="","",'Snapshot Setup'!B7)</f>
        <v>Clorox Portfolio (Clorox, Pine-Sol, Purell)</v>
      </c>
      <c r="C135" s="26" t="b">
        <v>0</v>
      </c>
      <c r="D135" s="26" t="s">
        <v>457</v>
      </c>
      <c r="E135" s="26" t="s">
        <v>484</v>
      </c>
      <c r="F135" s="26" t="s">
        <v>173</v>
      </c>
      <c r="G135" s="26" t="s">
        <v>278</v>
      </c>
      <c r="H135" s="15">
        <f>IFERROR(IF(ISNUMBER('Score — Comp 1'!E67),'Score — Comp 1'!E67,""),"")</f>
        <v>30</v>
      </c>
    </row>
    <row r="136" spans="1:8">
      <c r="A136" s="28">
        <f>'Snapshot Setup'!$B$4</f>
        <v>46174</v>
      </c>
      <c r="B136" s="26" t="str">
        <f>IF('Snapshot Setup'!B7="","",'Snapshot Setup'!B7)</f>
        <v>Clorox Portfolio (Clorox, Pine-Sol, Purell)</v>
      </c>
      <c r="C136" s="26" t="b">
        <v>0</v>
      </c>
      <c r="D136" s="26" t="s">
        <v>457</v>
      </c>
      <c r="E136" s="26" t="s">
        <v>487</v>
      </c>
      <c r="F136" s="26" t="s">
        <v>173</v>
      </c>
      <c r="G136" s="26" t="s">
        <v>278</v>
      </c>
      <c r="H136" s="15">
        <f>IFERROR(IF(ISNUMBER('Score — Comp 1'!E68),'Score — Comp 1'!E68,""),"")</f>
        <v>0</v>
      </c>
    </row>
    <row r="137" spans="1:8">
      <c r="A137" s="28">
        <f>'Snapshot Setup'!$B$4</f>
        <v>46174</v>
      </c>
      <c r="B137" s="26" t="str">
        <f>IF('Snapshot Setup'!B7="","",'Snapshot Setup'!B7)</f>
        <v>Clorox Portfolio (Clorox, Pine-Sol, Purell)</v>
      </c>
      <c r="C137" s="26" t="b">
        <v>0</v>
      </c>
      <c r="D137" s="26" t="s">
        <v>492</v>
      </c>
      <c r="E137" s="26" t="s">
        <v>493</v>
      </c>
      <c r="F137" s="26" t="s">
        <v>171</v>
      </c>
      <c r="G137" s="26" t="s">
        <v>231</v>
      </c>
      <c r="H137" s="15">
        <f>IFERROR(IF(ISNUMBER('Score — Comp 1'!E69),'Score — Comp 1'!E69,""),"")</f>
        <v>72</v>
      </c>
    </row>
    <row r="138" spans="1:8">
      <c r="A138" s="28">
        <f>'Snapshot Setup'!$B$4</f>
        <v>46174</v>
      </c>
      <c r="B138" s="26" t="str">
        <f>IF('Snapshot Setup'!B7="","",'Snapshot Setup'!B7)</f>
        <v>Clorox Portfolio (Clorox, Pine-Sol, Purell)</v>
      </c>
      <c r="C138" s="26" t="b">
        <v>0</v>
      </c>
      <c r="D138" s="26" t="s">
        <v>492</v>
      </c>
      <c r="E138" s="26" t="s">
        <v>498</v>
      </c>
      <c r="F138" s="26" t="s">
        <v>170</v>
      </c>
      <c r="G138" s="26" t="s">
        <v>313</v>
      </c>
      <c r="H138" s="15">
        <f>IFERROR(IF(ISNUMBER('Score — Comp 1'!E70),'Score — Comp 1'!E70,""),"")</f>
        <v>72</v>
      </c>
    </row>
    <row r="139" spans="1:8">
      <c r="A139" s="28">
        <f>'Snapshot Setup'!$B$4</f>
        <v>46174</v>
      </c>
      <c r="B139" s="26" t="str">
        <f>IF('Snapshot Setup'!B7="","",'Snapshot Setup'!B7)</f>
        <v>Clorox Portfolio (Clorox, Pine-Sol, Purell)</v>
      </c>
      <c r="C139" s="26" t="b">
        <v>0</v>
      </c>
      <c r="D139" s="26" t="s">
        <v>492</v>
      </c>
      <c r="E139" s="26" t="s">
        <v>501</v>
      </c>
      <c r="F139" s="26" t="s">
        <v>170</v>
      </c>
      <c r="G139" s="26" t="s">
        <v>313</v>
      </c>
      <c r="H139" s="15">
        <f>IFERROR(IF(ISNUMBER('Score — Comp 1'!E71),'Score — Comp 1'!E71,""),"")</f>
        <v>64</v>
      </c>
    </row>
    <row r="140" spans="1:8">
      <c r="A140" s="28">
        <f>'Snapshot Setup'!$B$4</f>
        <v>46174</v>
      </c>
      <c r="B140" s="26" t="str">
        <f>IF('Snapshot Setup'!B8="","",'Snapshot Setup'!B8)</f>
        <v>P&amp;G Home Care (Mr. Clean, Microban 24)</v>
      </c>
      <c r="C140" s="26" t="b">
        <v>0</v>
      </c>
      <c r="D140" s="26" t="s">
        <v>191</v>
      </c>
      <c r="E140" s="26" t="s">
        <v>192</v>
      </c>
      <c r="F140" s="26" t="s">
        <v>171</v>
      </c>
      <c r="G140" s="26" t="s">
        <v>194</v>
      </c>
      <c r="H140" s="15">
        <f>IFERROR(IF(ISNUMBER('Score — Comp 2'!E4),'Score — Comp 2'!E4,""),"")</f>
        <v>64</v>
      </c>
    </row>
    <row r="141" spans="1:8">
      <c r="A141" s="28">
        <f>'Snapshot Setup'!$B$4</f>
        <v>46174</v>
      </c>
      <c r="B141" s="26" t="str">
        <f>IF('Snapshot Setup'!B8="","",'Snapshot Setup'!B8)</f>
        <v>P&amp;G Home Care (Mr. Clean, Microban 24)</v>
      </c>
      <c r="C141" s="26" t="b">
        <v>0</v>
      </c>
      <c r="D141" s="26" t="s">
        <v>191</v>
      </c>
      <c r="E141" s="26" t="s">
        <v>199</v>
      </c>
      <c r="F141" s="26" t="s">
        <v>171</v>
      </c>
      <c r="G141" s="26" t="s">
        <v>194</v>
      </c>
      <c r="H141" s="15">
        <f>IFERROR(IF(ISNUMBER('Score — Comp 2'!E5),'Score — Comp 2'!E5,""),"")</f>
        <v>68</v>
      </c>
    </row>
    <row r="142" spans="1:8">
      <c r="A142" s="28">
        <f>'Snapshot Setup'!$B$4</f>
        <v>46174</v>
      </c>
      <c r="B142" s="26" t="str">
        <f>IF('Snapshot Setup'!B8="","",'Snapshot Setup'!B8)</f>
        <v>P&amp;G Home Care (Mr. Clean, Microban 24)</v>
      </c>
      <c r="C142" s="26" t="b">
        <v>0</v>
      </c>
      <c r="D142" s="26" t="s">
        <v>191</v>
      </c>
      <c r="E142" s="26" t="s">
        <v>204</v>
      </c>
      <c r="F142" s="26" t="s">
        <v>171</v>
      </c>
      <c r="G142" s="26" t="s">
        <v>194</v>
      </c>
      <c r="H142" s="15">
        <f>IFERROR(IF(ISNUMBER('Score — Comp 2'!E6),'Score — Comp 2'!E6,""),"")</f>
        <v>80</v>
      </c>
    </row>
    <row r="143" spans="1:8">
      <c r="A143" s="28">
        <f>'Snapshot Setup'!$B$4</f>
        <v>46174</v>
      </c>
      <c r="B143" s="26" t="str">
        <f>IF('Snapshot Setup'!B8="","",'Snapshot Setup'!B8)</f>
        <v>P&amp;G Home Care (Mr. Clean, Microban 24)</v>
      </c>
      <c r="C143" s="26" t="b">
        <v>0</v>
      </c>
      <c r="D143" s="26" t="s">
        <v>191</v>
      </c>
      <c r="E143" s="26" t="s">
        <v>209</v>
      </c>
      <c r="F143" s="26" t="s">
        <v>171</v>
      </c>
      <c r="G143" s="26" t="s">
        <v>194</v>
      </c>
      <c r="H143" s="15">
        <f>IFERROR(IF(ISNUMBER('Score — Comp 2'!E7),'Score — Comp 2'!E7,""),"")</f>
        <v>74</v>
      </c>
    </row>
    <row r="144" spans="1:8">
      <c r="A144" s="28">
        <f>'Snapshot Setup'!$B$4</f>
        <v>46174</v>
      </c>
      <c r="B144" s="26" t="str">
        <f>IF('Snapshot Setup'!B8="","",'Snapshot Setup'!B8)</f>
        <v>P&amp;G Home Care (Mr. Clean, Microban 24)</v>
      </c>
      <c r="C144" s="26" t="b">
        <v>0</v>
      </c>
      <c r="D144" s="26" t="s">
        <v>191</v>
      </c>
      <c r="E144" s="26" t="s">
        <v>214</v>
      </c>
      <c r="F144" s="26" t="s">
        <v>171</v>
      </c>
      <c r="G144" s="26" t="s">
        <v>194</v>
      </c>
      <c r="H144" s="15">
        <f>IFERROR(IF(ISNUMBER('Score — Comp 2'!E8),'Score — Comp 2'!E8,""),"")</f>
        <v>58</v>
      </c>
    </row>
    <row r="145" spans="1:8">
      <c r="A145" s="28">
        <f>'Snapshot Setup'!$B$4</f>
        <v>46174</v>
      </c>
      <c r="B145" s="26" t="str">
        <f>IF('Snapshot Setup'!B8="","",'Snapshot Setup'!B8)</f>
        <v>P&amp;G Home Care (Mr. Clean, Microban 24)</v>
      </c>
      <c r="C145" s="26" t="b">
        <v>0</v>
      </c>
      <c r="D145" s="26" t="s">
        <v>191</v>
      </c>
      <c r="E145" s="26" t="s">
        <v>219</v>
      </c>
      <c r="F145" s="26" t="s">
        <v>171</v>
      </c>
      <c r="G145" s="26" t="s">
        <v>194</v>
      </c>
      <c r="H145" s="15">
        <f>IFERROR(IF(ISNUMBER('Score — Comp 2'!E9),'Score — Comp 2'!E9,""),"")</f>
        <v>90</v>
      </c>
    </row>
    <row r="146" spans="1:8">
      <c r="A146" s="28">
        <f>'Snapshot Setup'!$B$4</f>
        <v>46174</v>
      </c>
      <c r="B146" s="26" t="str">
        <f>IF('Snapshot Setup'!B8="","",'Snapshot Setup'!B8)</f>
        <v>P&amp;G Home Care (Mr. Clean, Microban 24)</v>
      </c>
      <c r="C146" s="26" t="b">
        <v>0</v>
      </c>
      <c r="D146" s="26" t="s">
        <v>191</v>
      </c>
      <c r="E146" s="26" t="s">
        <v>223</v>
      </c>
      <c r="F146" s="26" t="s">
        <v>173</v>
      </c>
      <c r="G146" s="26" t="s">
        <v>224</v>
      </c>
      <c r="H146" s="15">
        <f>IFERROR(IF(ISNUMBER('Score — Comp 2'!E10),'Score — Comp 2'!E10,""),"")</f>
        <v>68</v>
      </c>
    </row>
    <row r="147" spans="1:8">
      <c r="A147" s="28">
        <f>'Snapshot Setup'!$B$4</f>
        <v>46174</v>
      </c>
      <c r="B147" s="26" t="str">
        <f>IF('Snapshot Setup'!B8="","",'Snapshot Setup'!B8)</f>
        <v>P&amp;G Home Care (Mr. Clean, Microban 24)</v>
      </c>
      <c r="C147" s="26" t="b">
        <v>0</v>
      </c>
      <c r="D147" s="26" t="s">
        <v>191</v>
      </c>
      <c r="E147" s="26" t="s">
        <v>230</v>
      </c>
      <c r="F147" s="26" t="s">
        <v>171</v>
      </c>
      <c r="G147" s="26" t="s">
        <v>231</v>
      </c>
      <c r="H147" s="15">
        <f>IFERROR(IF(ISNUMBER('Score — Comp 2'!E11),'Score — Comp 2'!E11,""),"")</f>
        <v>46</v>
      </c>
    </row>
    <row r="148" spans="1:8">
      <c r="A148" s="28">
        <f>'Snapshot Setup'!$B$4</f>
        <v>46174</v>
      </c>
      <c r="B148" s="26" t="str">
        <f>IF('Snapshot Setup'!B8="","",'Snapshot Setup'!B8)</f>
        <v>P&amp;G Home Care (Mr. Clean, Microban 24)</v>
      </c>
      <c r="C148" s="26" t="b">
        <v>0</v>
      </c>
      <c r="D148" s="26" t="s">
        <v>191</v>
      </c>
      <c r="E148" s="26" t="s">
        <v>236</v>
      </c>
      <c r="F148" s="26" t="s">
        <v>171</v>
      </c>
      <c r="G148" s="26" t="s">
        <v>231</v>
      </c>
      <c r="H148" s="15" t="str">
        <f>IFERROR(IF(ISNUMBER('Score — Comp 2'!E12),'Score — Comp 2'!E12,""),"")</f>
        <v/>
      </c>
    </row>
    <row r="149" spans="1:8">
      <c r="A149" s="28">
        <f>'Snapshot Setup'!$B$4</f>
        <v>46174</v>
      </c>
      <c r="B149" s="26" t="str">
        <f>IF('Snapshot Setup'!B8="","",'Snapshot Setup'!B8)</f>
        <v>P&amp;G Home Care (Mr. Clean, Microban 24)</v>
      </c>
      <c r="C149" s="26" t="b">
        <v>0</v>
      </c>
      <c r="D149" s="26" t="s">
        <v>191</v>
      </c>
      <c r="E149" s="26" t="s">
        <v>240</v>
      </c>
      <c r="F149" s="26" t="s">
        <v>173</v>
      </c>
      <c r="G149" s="26" t="s">
        <v>241</v>
      </c>
      <c r="H149" s="15">
        <f>IFERROR(IF(ISNUMBER('Score — Comp 2'!E13),'Score — Comp 2'!E13,""),"")</f>
        <v>62</v>
      </c>
    </row>
    <row r="150" spans="1:8">
      <c r="A150" s="28">
        <f>'Snapshot Setup'!$B$4</f>
        <v>46174</v>
      </c>
      <c r="B150" s="26" t="str">
        <f>IF('Snapshot Setup'!B8="","",'Snapshot Setup'!B8)</f>
        <v>P&amp;G Home Care (Mr. Clean, Microban 24)</v>
      </c>
      <c r="C150" s="26" t="b">
        <v>0</v>
      </c>
      <c r="D150" s="26" t="s">
        <v>191</v>
      </c>
      <c r="E150" s="26" t="s">
        <v>246</v>
      </c>
      <c r="F150" s="26" t="s">
        <v>171</v>
      </c>
      <c r="G150" s="26" t="s">
        <v>231</v>
      </c>
      <c r="H150" s="15">
        <f>IFERROR(IF(ISNUMBER('Score — Comp 2'!E14),'Score — Comp 2'!E14,""),"")</f>
        <v>52</v>
      </c>
    </row>
    <row r="151" spans="1:8">
      <c r="A151" s="28">
        <f>'Snapshot Setup'!$B$4</f>
        <v>46174</v>
      </c>
      <c r="B151" s="26" t="str">
        <f>IF('Snapshot Setup'!B8="","",'Snapshot Setup'!B8)</f>
        <v>P&amp;G Home Care (Mr. Clean, Microban 24)</v>
      </c>
      <c r="C151" s="26" t="b">
        <v>0</v>
      </c>
      <c r="D151" s="26" t="s">
        <v>191</v>
      </c>
      <c r="E151" s="26" t="s">
        <v>250</v>
      </c>
      <c r="F151" s="26" t="s">
        <v>171</v>
      </c>
      <c r="G151" s="26" t="s">
        <v>251</v>
      </c>
      <c r="H151" s="15">
        <f>IFERROR(IF(ISNUMBER('Score — Comp 2'!E15),'Score — Comp 2'!E15,""),"")</f>
        <v>78</v>
      </c>
    </row>
    <row r="152" spans="1:8">
      <c r="A152" s="28">
        <f>'Snapshot Setup'!$B$4</f>
        <v>46174</v>
      </c>
      <c r="B152" s="26" t="str">
        <f>IF('Snapshot Setup'!B8="","",'Snapshot Setup'!B8)</f>
        <v>P&amp;G Home Care (Mr. Clean, Microban 24)</v>
      </c>
      <c r="C152" s="26" t="b">
        <v>0</v>
      </c>
      <c r="D152" s="26" t="s">
        <v>191</v>
      </c>
      <c r="E152" s="26" t="s">
        <v>256</v>
      </c>
      <c r="F152" s="26" t="s">
        <v>173</v>
      </c>
      <c r="G152" s="26" t="s">
        <v>241</v>
      </c>
      <c r="H152" s="15">
        <f>IFERROR(IF(ISNUMBER('Score — Comp 2'!E16),'Score — Comp 2'!E16,""),"")</f>
        <v>74</v>
      </c>
    </row>
    <row r="153" spans="1:8">
      <c r="A153" s="28">
        <f>'Snapshot Setup'!$B$4</f>
        <v>46174</v>
      </c>
      <c r="B153" s="26" t="str">
        <f>IF('Snapshot Setup'!B8="","",'Snapshot Setup'!B8)</f>
        <v>P&amp;G Home Care (Mr. Clean, Microban 24)</v>
      </c>
      <c r="C153" s="26" t="b">
        <v>0</v>
      </c>
      <c r="D153" s="26" t="s">
        <v>191</v>
      </c>
      <c r="E153" s="26" t="s">
        <v>261</v>
      </c>
      <c r="F153" s="26" t="s">
        <v>263</v>
      </c>
      <c r="G153" s="26" t="s">
        <v>263</v>
      </c>
      <c r="H153" s="15" t="str">
        <f>IFERROR(IF(ISNUMBER('Score — Comp 2'!E17),'Score — Comp 2'!E17,""),"")</f>
        <v/>
      </c>
    </row>
    <row r="154" spans="1:8">
      <c r="A154" s="28">
        <f>'Snapshot Setup'!$B$4</f>
        <v>46174</v>
      </c>
      <c r="B154" s="26" t="str">
        <f>IF('Snapshot Setup'!B8="","",'Snapshot Setup'!B8)</f>
        <v>P&amp;G Home Care (Mr. Clean, Microban 24)</v>
      </c>
      <c r="C154" s="26" t="b">
        <v>0</v>
      </c>
      <c r="D154" s="26" t="s">
        <v>191</v>
      </c>
      <c r="E154" s="26" t="s">
        <v>267</v>
      </c>
      <c r="F154" s="26" t="s">
        <v>263</v>
      </c>
      <c r="G154" s="26" t="s">
        <v>263</v>
      </c>
      <c r="H154" s="15" t="str">
        <f>IFERROR(IF(ISNUMBER('Score — Comp 2'!E18),'Score — Comp 2'!E18,""),"")</f>
        <v/>
      </c>
    </row>
    <row r="155" spans="1:8">
      <c r="A155" s="28">
        <f>'Snapshot Setup'!$B$4</f>
        <v>46174</v>
      </c>
      <c r="B155" s="26" t="str">
        <f>IF('Snapshot Setup'!B8="","",'Snapshot Setup'!B8)</f>
        <v>P&amp;G Home Care (Mr. Clean, Microban 24)</v>
      </c>
      <c r="C155" s="26" t="b">
        <v>0</v>
      </c>
      <c r="D155" s="26" t="s">
        <v>191</v>
      </c>
      <c r="E155" s="26" t="s">
        <v>272</v>
      </c>
      <c r="F155" s="26" t="s">
        <v>173</v>
      </c>
      <c r="G155" s="26" t="s">
        <v>273</v>
      </c>
      <c r="H155" s="15">
        <f>IFERROR(IF(ISNUMBER('Score — Comp 2'!E19),'Score — Comp 2'!E19,""),"")</f>
        <v>42</v>
      </c>
    </row>
    <row r="156" spans="1:8">
      <c r="A156" s="28">
        <f>'Snapshot Setup'!$B$4</f>
        <v>46174</v>
      </c>
      <c r="B156" s="26" t="str">
        <f>IF('Snapshot Setup'!B8="","",'Snapshot Setup'!B8)</f>
        <v>P&amp;G Home Care (Mr. Clean, Microban 24)</v>
      </c>
      <c r="C156" s="26" t="b">
        <v>0</v>
      </c>
      <c r="D156" s="26" t="s">
        <v>191</v>
      </c>
      <c r="E156" s="26" t="s">
        <v>277</v>
      </c>
      <c r="F156" s="26" t="s">
        <v>173</v>
      </c>
      <c r="G156" s="26" t="s">
        <v>278</v>
      </c>
      <c r="H156" s="15">
        <f>IFERROR(IF(ISNUMBER('Score — Comp 2'!E20),'Score — Comp 2'!E20,""),"")</f>
        <v>58</v>
      </c>
    </row>
    <row r="157" spans="1:8">
      <c r="A157" s="28">
        <f>'Snapshot Setup'!$B$4</f>
        <v>46174</v>
      </c>
      <c r="B157" s="26" t="str">
        <f>IF('Snapshot Setup'!B8="","",'Snapshot Setup'!B8)</f>
        <v>P&amp;G Home Care (Mr. Clean, Microban 24)</v>
      </c>
      <c r="C157" s="26" t="b">
        <v>0</v>
      </c>
      <c r="D157" s="26" t="s">
        <v>191</v>
      </c>
      <c r="E157" s="26" t="s">
        <v>283</v>
      </c>
      <c r="F157" s="26" t="s">
        <v>170</v>
      </c>
      <c r="G157" s="26" t="s">
        <v>284</v>
      </c>
      <c r="H157" s="15">
        <f>IFERROR(IF(ISNUMBER('Score — Comp 2'!E21),'Score — Comp 2'!E21,""),"")</f>
        <v>66</v>
      </c>
    </row>
    <row r="158" spans="1:8">
      <c r="A158" s="28">
        <f>'Snapshot Setup'!$B$4</f>
        <v>46174</v>
      </c>
      <c r="B158" s="26" t="str">
        <f>IF('Snapshot Setup'!B8="","",'Snapshot Setup'!B8)</f>
        <v>P&amp;G Home Care (Mr. Clean, Microban 24)</v>
      </c>
      <c r="C158" s="26" t="b">
        <v>0</v>
      </c>
      <c r="D158" s="26" t="s">
        <v>191</v>
      </c>
      <c r="E158" s="26" t="s">
        <v>288</v>
      </c>
      <c r="F158" s="26" t="s">
        <v>170</v>
      </c>
      <c r="G158" s="26" t="s">
        <v>284</v>
      </c>
      <c r="H158" s="15">
        <f>IFERROR(IF(ISNUMBER('Score — Comp 2'!E22),'Score — Comp 2'!E22,""),"")</f>
        <v>54</v>
      </c>
    </row>
    <row r="159" spans="1:8">
      <c r="A159" s="28">
        <f>'Snapshot Setup'!$B$4</f>
        <v>46174</v>
      </c>
      <c r="B159" s="26" t="str">
        <f>IF('Snapshot Setup'!B8="","",'Snapshot Setup'!B8)</f>
        <v>P&amp;G Home Care (Mr. Clean, Microban 24)</v>
      </c>
      <c r="C159" s="26" t="b">
        <v>0</v>
      </c>
      <c r="D159" s="26" t="s">
        <v>191</v>
      </c>
      <c r="E159" s="26" t="s">
        <v>292</v>
      </c>
      <c r="F159" s="26" t="s">
        <v>171</v>
      </c>
      <c r="G159" s="26" t="s">
        <v>194</v>
      </c>
      <c r="H159" s="15">
        <f>IFERROR(IF(ISNUMBER('Score — Comp 2'!E23),'Score — Comp 2'!E23,""),"")</f>
        <v>56</v>
      </c>
    </row>
    <row r="160" spans="1:8">
      <c r="A160" s="28">
        <f>'Snapshot Setup'!$B$4</f>
        <v>46174</v>
      </c>
      <c r="B160" s="26" t="str">
        <f>IF('Snapshot Setup'!B8="","",'Snapshot Setup'!B8)</f>
        <v>P&amp;G Home Care (Mr. Clean, Microban 24)</v>
      </c>
      <c r="C160" s="26" t="b">
        <v>0</v>
      </c>
      <c r="D160" s="26" t="s">
        <v>191</v>
      </c>
      <c r="E160" s="26" t="s">
        <v>297</v>
      </c>
      <c r="F160" s="26" t="s">
        <v>171</v>
      </c>
      <c r="G160" s="26" t="s">
        <v>194</v>
      </c>
      <c r="H160" s="15">
        <f>IFERROR(IF(ISNUMBER('Score — Comp 2'!E24),'Score — Comp 2'!E24,""),"")</f>
        <v>66</v>
      </c>
    </row>
    <row r="161" spans="1:8">
      <c r="A161" s="28">
        <f>'Snapshot Setup'!$B$4</f>
        <v>46174</v>
      </c>
      <c r="B161" s="26" t="str">
        <f>IF('Snapshot Setup'!B8="","",'Snapshot Setup'!B8)</f>
        <v>P&amp;G Home Care (Mr. Clean, Microban 24)</v>
      </c>
      <c r="C161" s="26" t="b">
        <v>0</v>
      </c>
      <c r="D161" s="26" t="s">
        <v>191</v>
      </c>
      <c r="E161" s="26" t="s">
        <v>302</v>
      </c>
      <c r="F161" s="26" t="s">
        <v>171</v>
      </c>
      <c r="G161" s="26" t="s">
        <v>194</v>
      </c>
      <c r="H161" s="15">
        <f>IFERROR(IF(ISNUMBER('Score — Comp 2'!E25),'Score — Comp 2'!E25,""),"")</f>
        <v>54</v>
      </c>
    </row>
    <row r="162" spans="1:8">
      <c r="A162" s="28">
        <f>'Snapshot Setup'!$B$4</f>
        <v>46174</v>
      </c>
      <c r="B162" s="26" t="str">
        <f>IF('Snapshot Setup'!B8="","",'Snapshot Setup'!B8)</f>
        <v>P&amp;G Home Care (Mr. Clean, Microban 24)</v>
      </c>
      <c r="C162" s="26" t="b">
        <v>0</v>
      </c>
      <c r="D162" s="26" t="s">
        <v>191</v>
      </c>
      <c r="E162" s="26" t="s">
        <v>307</v>
      </c>
      <c r="F162" s="26" t="s">
        <v>173</v>
      </c>
      <c r="G162" s="26" t="s">
        <v>241</v>
      </c>
      <c r="H162" s="15">
        <f>IFERROR(IF(ISNUMBER('Score — Comp 2'!E26),'Score — Comp 2'!E26,""),"")</f>
        <v>68</v>
      </c>
    </row>
    <row r="163" spans="1:8">
      <c r="A163" s="28">
        <f>'Snapshot Setup'!$B$4</f>
        <v>46174</v>
      </c>
      <c r="B163" s="26" t="str">
        <f>IF('Snapshot Setup'!B8="","",'Snapshot Setup'!B8)</f>
        <v>P&amp;G Home Care (Mr. Clean, Microban 24)</v>
      </c>
      <c r="C163" s="26" t="b">
        <v>0</v>
      </c>
      <c r="D163" s="26" t="s">
        <v>191</v>
      </c>
      <c r="E163" s="26" t="s">
        <v>312</v>
      </c>
      <c r="F163" s="26" t="s">
        <v>170</v>
      </c>
      <c r="G163" s="26" t="s">
        <v>313</v>
      </c>
      <c r="H163" s="15">
        <f>IFERROR(IF(ISNUMBER('Score — Comp 2'!E27),'Score — Comp 2'!E27,""),"")</f>
        <v>46</v>
      </c>
    </row>
    <row r="164" spans="1:8">
      <c r="A164" s="28">
        <f>'Snapshot Setup'!$B$4</f>
        <v>46174</v>
      </c>
      <c r="B164" s="26" t="str">
        <f>IF('Snapshot Setup'!B8="","",'Snapshot Setup'!B8)</f>
        <v>P&amp;G Home Care (Mr. Clean, Microban 24)</v>
      </c>
      <c r="C164" s="26" t="b">
        <v>0</v>
      </c>
      <c r="D164" s="26" t="s">
        <v>191</v>
      </c>
      <c r="E164" s="26" t="s">
        <v>318</v>
      </c>
      <c r="F164" s="26" t="s">
        <v>171</v>
      </c>
      <c r="G164" s="26" t="s">
        <v>194</v>
      </c>
      <c r="H164" s="15">
        <f>IFERROR(IF(ISNUMBER('Score — Comp 2'!E28),'Score — Comp 2'!E28,""),"")</f>
        <v>40</v>
      </c>
    </row>
    <row r="165" spans="1:8">
      <c r="A165" s="28">
        <f>'Snapshot Setup'!$B$4</f>
        <v>46174</v>
      </c>
      <c r="B165" s="26" t="str">
        <f>IF('Snapshot Setup'!B8="","",'Snapshot Setup'!B8)</f>
        <v>P&amp;G Home Care (Mr. Clean, Microban 24)</v>
      </c>
      <c r="C165" s="26" t="b">
        <v>0</v>
      </c>
      <c r="D165" s="26" t="s">
        <v>323</v>
      </c>
      <c r="E165" s="26" t="s">
        <v>324</v>
      </c>
      <c r="F165" s="26" t="s">
        <v>172</v>
      </c>
      <c r="G165" s="26" t="s">
        <v>325</v>
      </c>
      <c r="H165" s="15">
        <f>IFERROR(IF(ISNUMBER('Score — Comp 2'!E29),'Score — Comp 2'!E29,""),"")</f>
        <v>68</v>
      </c>
    </row>
    <row r="166" spans="1:8">
      <c r="A166" s="28">
        <f>'Snapshot Setup'!$B$4</f>
        <v>46174</v>
      </c>
      <c r="B166" s="26" t="str">
        <f>IF('Snapshot Setup'!B8="","",'Snapshot Setup'!B8)</f>
        <v>P&amp;G Home Care (Mr. Clean, Microban 24)</v>
      </c>
      <c r="C166" s="26" t="b">
        <v>0</v>
      </c>
      <c r="D166" s="26" t="s">
        <v>323</v>
      </c>
      <c r="E166" s="26" t="s">
        <v>329</v>
      </c>
      <c r="F166" s="26" t="s">
        <v>171</v>
      </c>
      <c r="G166" s="26" t="s">
        <v>330</v>
      </c>
      <c r="H166" s="15">
        <f>IFERROR(IF(ISNUMBER('Score — Comp 2'!E30),'Score — Comp 2'!E30,""),"")</f>
        <v>70</v>
      </c>
    </row>
    <row r="167" spans="1:8">
      <c r="A167" s="28">
        <f>'Snapshot Setup'!$B$4</f>
        <v>46174</v>
      </c>
      <c r="B167" s="26" t="str">
        <f>IF('Snapshot Setup'!B8="","",'Snapshot Setup'!B8)</f>
        <v>P&amp;G Home Care (Mr. Clean, Microban 24)</v>
      </c>
      <c r="C167" s="26" t="b">
        <v>0</v>
      </c>
      <c r="D167" s="26" t="s">
        <v>323</v>
      </c>
      <c r="E167" s="26" t="s">
        <v>333</v>
      </c>
      <c r="F167" s="26" t="s">
        <v>172</v>
      </c>
      <c r="G167" s="26" t="s">
        <v>334</v>
      </c>
      <c r="H167" s="15">
        <f>IFERROR(IF(ISNUMBER('Score — Comp 2'!E31),'Score — Comp 2'!E31,""),"")</f>
        <v>68</v>
      </c>
    </row>
    <row r="168" spans="1:8">
      <c r="A168" s="28">
        <f>'Snapshot Setup'!$B$4</f>
        <v>46174</v>
      </c>
      <c r="B168" s="26" t="str">
        <f>IF('Snapshot Setup'!B8="","",'Snapshot Setup'!B8)</f>
        <v>P&amp;G Home Care (Mr. Clean, Microban 24)</v>
      </c>
      <c r="C168" s="26" t="b">
        <v>0</v>
      </c>
      <c r="D168" s="26" t="s">
        <v>323</v>
      </c>
      <c r="E168" s="26" t="s">
        <v>339</v>
      </c>
      <c r="F168" s="26" t="s">
        <v>172</v>
      </c>
      <c r="G168" s="26" t="s">
        <v>325</v>
      </c>
      <c r="H168" s="15" t="str">
        <f>IFERROR(IF(ISNUMBER('Score — Comp 2'!E32),'Score — Comp 2'!E32,""),"")</f>
        <v/>
      </c>
    </row>
    <row r="169" spans="1:8">
      <c r="A169" s="28">
        <f>'Snapshot Setup'!$B$4</f>
        <v>46174</v>
      </c>
      <c r="B169" s="26" t="str">
        <f>IF('Snapshot Setup'!B8="","",'Snapshot Setup'!B8)</f>
        <v>P&amp;G Home Care (Mr. Clean, Microban 24)</v>
      </c>
      <c r="C169" s="26" t="b">
        <v>0</v>
      </c>
      <c r="D169" s="26" t="s">
        <v>323</v>
      </c>
      <c r="E169" s="26" t="s">
        <v>343</v>
      </c>
      <c r="F169" s="26" t="s">
        <v>171</v>
      </c>
      <c r="G169" s="26" t="s">
        <v>330</v>
      </c>
      <c r="H169" s="15">
        <f>IFERROR(IF(ISNUMBER('Score — Comp 2'!E33),'Score — Comp 2'!E33,""),"")</f>
        <v>76</v>
      </c>
    </row>
    <row r="170" spans="1:8">
      <c r="A170" s="28">
        <f>'Snapshot Setup'!$B$4</f>
        <v>46174</v>
      </c>
      <c r="B170" s="26" t="str">
        <f>IF('Snapshot Setup'!B8="","",'Snapshot Setup'!B8)</f>
        <v>P&amp;G Home Care (Mr. Clean, Microban 24)</v>
      </c>
      <c r="C170" s="26" t="b">
        <v>0</v>
      </c>
      <c r="D170" s="26" t="s">
        <v>323</v>
      </c>
      <c r="E170" s="26" t="s">
        <v>347</v>
      </c>
      <c r="F170" s="26" t="s">
        <v>170</v>
      </c>
      <c r="G170" s="26" t="s">
        <v>284</v>
      </c>
      <c r="H170" s="15">
        <f>IFERROR(IF(ISNUMBER('Score — Comp 2'!E34),'Score — Comp 2'!E34,""),"")</f>
        <v>76</v>
      </c>
    </row>
    <row r="171" spans="1:8">
      <c r="A171" s="28">
        <f>'Snapshot Setup'!$B$4</f>
        <v>46174</v>
      </c>
      <c r="B171" s="26" t="str">
        <f>IF('Snapshot Setup'!B8="","",'Snapshot Setup'!B8)</f>
        <v>P&amp;G Home Care (Mr. Clean, Microban 24)</v>
      </c>
      <c r="C171" s="26" t="b">
        <v>0</v>
      </c>
      <c r="D171" s="26" t="s">
        <v>323</v>
      </c>
      <c r="E171" s="26" t="s">
        <v>352</v>
      </c>
      <c r="F171" s="26" t="s">
        <v>170</v>
      </c>
      <c r="G171" s="26" t="s">
        <v>353</v>
      </c>
      <c r="H171" s="15">
        <f>IFERROR(IF(ISNUMBER('Score — Comp 2'!E35),'Score — Comp 2'!E35,""),"")</f>
        <v>58</v>
      </c>
    </row>
    <row r="172" spans="1:8">
      <c r="A172" s="28">
        <f>'Snapshot Setup'!$B$4</f>
        <v>46174</v>
      </c>
      <c r="B172" s="26" t="str">
        <f>IF('Snapshot Setup'!B8="","",'Snapshot Setup'!B8)</f>
        <v>P&amp;G Home Care (Mr. Clean, Microban 24)</v>
      </c>
      <c r="C172" s="26" t="b">
        <v>0</v>
      </c>
      <c r="D172" s="26" t="s">
        <v>323</v>
      </c>
      <c r="E172" s="26" t="s">
        <v>358</v>
      </c>
      <c r="F172" s="26" t="s">
        <v>170</v>
      </c>
      <c r="G172" s="26" t="s">
        <v>284</v>
      </c>
      <c r="H172" s="15">
        <f>IFERROR(IF(ISNUMBER('Score — Comp 2'!E36),'Score — Comp 2'!E36,""),"")</f>
        <v>62</v>
      </c>
    </row>
    <row r="173" spans="1:8">
      <c r="A173" s="28">
        <f>'Snapshot Setup'!$B$4</f>
        <v>46174</v>
      </c>
      <c r="B173" s="26" t="str">
        <f>IF('Snapshot Setup'!B8="","",'Snapshot Setup'!B8)</f>
        <v>P&amp;G Home Care (Mr. Clean, Microban 24)</v>
      </c>
      <c r="C173" s="26" t="b">
        <v>0</v>
      </c>
      <c r="D173" s="26" t="s">
        <v>323</v>
      </c>
      <c r="E173" s="26" t="s">
        <v>363</v>
      </c>
      <c r="F173" s="26" t="s">
        <v>170</v>
      </c>
      <c r="G173" s="26" t="s">
        <v>364</v>
      </c>
      <c r="H173" s="15">
        <f>IFERROR(IF(ISNUMBER('Score — Comp 2'!E37),'Score — Comp 2'!E37,""),"")</f>
        <v>54</v>
      </c>
    </row>
    <row r="174" spans="1:8">
      <c r="A174" s="28">
        <f>'Snapshot Setup'!$B$4</f>
        <v>46174</v>
      </c>
      <c r="B174" s="26" t="str">
        <f>IF('Snapshot Setup'!B8="","",'Snapshot Setup'!B8)</f>
        <v>P&amp;G Home Care (Mr. Clean, Microban 24)</v>
      </c>
      <c r="C174" s="26" t="b">
        <v>0</v>
      </c>
      <c r="D174" s="26" t="s">
        <v>323</v>
      </c>
      <c r="E174" s="26" t="s">
        <v>369</v>
      </c>
      <c r="F174" s="26" t="s">
        <v>170</v>
      </c>
      <c r="G174" s="26" t="s">
        <v>313</v>
      </c>
      <c r="H174" s="15">
        <f>IFERROR(IF(ISNUMBER('Score — Comp 2'!E38),'Score — Comp 2'!E38,""),"")</f>
        <v>70</v>
      </c>
    </row>
    <row r="175" spans="1:8">
      <c r="A175" s="28">
        <f>'Snapshot Setup'!$B$4</f>
        <v>46174</v>
      </c>
      <c r="B175" s="26" t="str">
        <f>IF('Snapshot Setup'!B8="","",'Snapshot Setup'!B8)</f>
        <v>P&amp;G Home Care (Mr. Clean, Microban 24)</v>
      </c>
      <c r="C175" s="26" t="b">
        <v>0</v>
      </c>
      <c r="D175" s="26" t="s">
        <v>323</v>
      </c>
      <c r="E175" s="26" t="s">
        <v>372</v>
      </c>
      <c r="F175" s="26" t="s">
        <v>170</v>
      </c>
      <c r="G175" s="26" t="s">
        <v>284</v>
      </c>
      <c r="H175" s="15">
        <f>IFERROR(IF(ISNUMBER('Score — Comp 2'!E39),'Score — Comp 2'!E39,""),"")</f>
        <v>62</v>
      </c>
    </row>
    <row r="176" spans="1:8">
      <c r="A176" s="28">
        <f>'Snapshot Setup'!$B$4</f>
        <v>46174</v>
      </c>
      <c r="B176" s="26" t="str">
        <f>IF('Snapshot Setup'!B8="","",'Snapshot Setup'!B8)</f>
        <v>P&amp;G Home Care (Mr. Clean, Microban 24)</v>
      </c>
      <c r="C176" s="26" t="b">
        <v>0</v>
      </c>
      <c r="D176" s="26" t="s">
        <v>323</v>
      </c>
      <c r="E176" s="26" t="s">
        <v>377</v>
      </c>
      <c r="F176" s="26" t="s">
        <v>170</v>
      </c>
      <c r="G176" s="26" t="s">
        <v>284</v>
      </c>
      <c r="H176" s="15">
        <f>IFERROR(IF(ISNUMBER('Score — Comp 2'!E40),'Score — Comp 2'!E40,""),"")</f>
        <v>64</v>
      </c>
    </row>
    <row r="177" spans="1:8">
      <c r="A177" s="28">
        <f>'Snapshot Setup'!$B$4</f>
        <v>46174</v>
      </c>
      <c r="B177" s="26" t="str">
        <f>IF('Snapshot Setup'!B8="","",'Snapshot Setup'!B8)</f>
        <v>P&amp;G Home Care (Mr. Clean, Microban 24)</v>
      </c>
      <c r="C177" s="26" t="b">
        <v>0</v>
      </c>
      <c r="D177" s="26" t="s">
        <v>323</v>
      </c>
      <c r="E177" s="26" t="s">
        <v>381</v>
      </c>
      <c r="F177" s="26" t="s">
        <v>170</v>
      </c>
      <c r="G177" s="26" t="s">
        <v>364</v>
      </c>
      <c r="H177" s="15">
        <f>IFERROR(IF(ISNUMBER('Score — Comp 2'!E41),'Score — Comp 2'!E41,""),"")</f>
        <v>66</v>
      </c>
    </row>
    <row r="178" spans="1:8">
      <c r="A178" s="28">
        <f>'Snapshot Setup'!$B$4</f>
        <v>46174</v>
      </c>
      <c r="B178" s="26" t="str">
        <f>IF('Snapshot Setup'!B8="","",'Snapshot Setup'!B8)</f>
        <v>P&amp;G Home Care (Mr. Clean, Microban 24)</v>
      </c>
      <c r="C178" s="26" t="b">
        <v>0</v>
      </c>
      <c r="D178" s="26" t="s">
        <v>323</v>
      </c>
      <c r="E178" s="26" t="s">
        <v>384</v>
      </c>
      <c r="F178" s="26" t="s">
        <v>170</v>
      </c>
      <c r="G178" s="26" t="s">
        <v>313</v>
      </c>
      <c r="H178" s="15">
        <f>IFERROR(IF(ISNUMBER('Score — Comp 2'!E42),'Score — Comp 2'!E42,""),"")</f>
        <v>60</v>
      </c>
    </row>
    <row r="179" spans="1:8">
      <c r="A179" s="28">
        <f>'Snapshot Setup'!$B$4</f>
        <v>46174</v>
      </c>
      <c r="B179" s="26" t="str">
        <f>IF('Snapshot Setup'!B8="","",'Snapshot Setup'!B8)</f>
        <v>P&amp;G Home Care (Mr. Clean, Microban 24)</v>
      </c>
      <c r="C179" s="26" t="b">
        <v>0</v>
      </c>
      <c r="D179" s="26" t="s">
        <v>323</v>
      </c>
      <c r="E179" s="26" t="s">
        <v>388</v>
      </c>
      <c r="F179" s="26" t="s">
        <v>170</v>
      </c>
      <c r="G179" s="26" t="s">
        <v>389</v>
      </c>
      <c r="H179" s="15">
        <f>IFERROR(IF(ISNUMBER('Score — Comp 2'!E43),'Score — Comp 2'!E43,""),"")</f>
        <v>56</v>
      </c>
    </row>
    <row r="180" spans="1:8">
      <c r="A180" s="28">
        <f>'Snapshot Setup'!$B$4</f>
        <v>46174</v>
      </c>
      <c r="B180" s="26" t="str">
        <f>IF('Snapshot Setup'!B8="","",'Snapshot Setup'!B8)</f>
        <v>P&amp;G Home Care (Mr. Clean, Microban 24)</v>
      </c>
      <c r="C180" s="26" t="b">
        <v>0</v>
      </c>
      <c r="D180" s="26" t="s">
        <v>323</v>
      </c>
      <c r="E180" s="26" t="s">
        <v>393</v>
      </c>
      <c r="F180" s="26" t="s">
        <v>171</v>
      </c>
      <c r="G180" s="26" t="s">
        <v>251</v>
      </c>
      <c r="H180" s="15">
        <f>IFERROR(IF(ISNUMBER('Score — Comp 2'!E44),'Score — Comp 2'!E44,""),"")</f>
        <v>50</v>
      </c>
    </row>
    <row r="181" spans="1:8">
      <c r="A181" s="28">
        <f>'Snapshot Setup'!$B$4</f>
        <v>46174</v>
      </c>
      <c r="B181" s="26" t="str">
        <f>IF('Snapshot Setup'!B8="","",'Snapshot Setup'!B8)</f>
        <v>P&amp;G Home Care (Mr. Clean, Microban 24)</v>
      </c>
      <c r="C181" s="26" t="b">
        <v>0</v>
      </c>
      <c r="D181" s="26" t="s">
        <v>323</v>
      </c>
      <c r="E181" s="26" t="s">
        <v>398</v>
      </c>
      <c r="F181" s="26" t="s">
        <v>170</v>
      </c>
      <c r="G181" s="26" t="s">
        <v>364</v>
      </c>
      <c r="H181" s="15">
        <f>IFERROR(IF(ISNUMBER('Score — Comp 2'!E45),'Score — Comp 2'!E45,""),"")</f>
        <v>50</v>
      </c>
    </row>
    <row r="182" spans="1:8">
      <c r="A182" s="28">
        <f>'Snapshot Setup'!$B$4</f>
        <v>46174</v>
      </c>
      <c r="B182" s="26" t="str">
        <f>IF('Snapshot Setup'!B8="","",'Snapshot Setup'!B8)</f>
        <v>P&amp;G Home Care (Mr. Clean, Microban 24)</v>
      </c>
      <c r="C182" s="26" t="b">
        <v>0</v>
      </c>
      <c r="D182" s="26" t="s">
        <v>323</v>
      </c>
      <c r="E182" s="26" t="s">
        <v>403</v>
      </c>
      <c r="F182" s="26" t="s">
        <v>172</v>
      </c>
      <c r="G182" s="26" t="s">
        <v>325</v>
      </c>
      <c r="H182" s="15">
        <f>IFERROR(IF(ISNUMBER('Score — Comp 2'!E46),'Score — Comp 2'!E46,""),"")</f>
        <v>64</v>
      </c>
    </row>
    <row r="183" spans="1:8">
      <c r="A183" s="28">
        <f>'Snapshot Setup'!$B$4</f>
        <v>46174</v>
      </c>
      <c r="B183" s="26" t="str">
        <f>IF('Snapshot Setup'!B8="","",'Snapshot Setup'!B8)</f>
        <v>P&amp;G Home Care (Mr. Clean, Microban 24)</v>
      </c>
      <c r="C183" s="26" t="b">
        <v>0</v>
      </c>
      <c r="D183" s="26" t="s">
        <v>323</v>
      </c>
      <c r="E183" s="26" t="s">
        <v>407</v>
      </c>
      <c r="F183" s="26" t="s">
        <v>170</v>
      </c>
      <c r="G183" s="26" t="s">
        <v>389</v>
      </c>
      <c r="H183" s="15" t="str">
        <f>IFERROR(IF(ISNUMBER('Score — Comp 2'!E47),'Score — Comp 2'!E47,""),"")</f>
        <v/>
      </c>
    </row>
    <row r="184" spans="1:8">
      <c r="A184" s="28">
        <f>'Snapshot Setup'!$B$4</f>
        <v>46174</v>
      </c>
      <c r="B184" s="26" t="str">
        <f>IF('Snapshot Setup'!B8="","",'Snapshot Setup'!B8)</f>
        <v>P&amp;G Home Care (Mr. Clean, Microban 24)</v>
      </c>
      <c r="C184" s="26" t="b">
        <v>0</v>
      </c>
      <c r="D184" s="26" t="s">
        <v>323</v>
      </c>
      <c r="E184" s="26" t="s">
        <v>411</v>
      </c>
      <c r="F184" s="26" t="s">
        <v>170</v>
      </c>
      <c r="G184" s="26" t="s">
        <v>389</v>
      </c>
      <c r="H184" s="15">
        <f>IFERROR(IF(ISNUMBER('Score — Comp 2'!E48),'Score — Comp 2'!E48,""),"")</f>
        <v>68</v>
      </c>
    </row>
    <row r="185" spans="1:8">
      <c r="A185" s="28">
        <f>'Snapshot Setup'!$B$4</f>
        <v>46174</v>
      </c>
      <c r="B185" s="26" t="str">
        <f>IF('Snapshot Setup'!B8="","",'Snapshot Setup'!B8)</f>
        <v>P&amp;G Home Care (Mr. Clean, Microban 24)</v>
      </c>
      <c r="C185" s="26" t="b">
        <v>0</v>
      </c>
      <c r="D185" s="26" t="s">
        <v>416</v>
      </c>
      <c r="E185" s="26" t="s">
        <v>417</v>
      </c>
      <c r="F185" s="26" t="s">
        <v>173</v>
      </c>
      <c r="G185" s="26" t="s">
        <v>224</v>
      </c>
      <c r="H185" s="15">
        <f>IFERROR(IF(ISNUMBER('Score — Comp 2'!E49),'Score — Comp 2'!E49,""),"")</f>
        <v>72</v>
      </c>
    </row>
    <row r="186" spans="1:8">
      <c r="A186" s="28">
        <f>'Snapshot Setup'!$B$4</f>
        <v>46174</v>
      </c>
      <c r="B186" s="26" t="str">
        <f>IF('Snapshot Setup'!B8="","",'Snapshot Setup'!B8)</f>
        <v>P&amp;G Home Care (Mr. Clean, Microban 24)</v>
      </c>
      <c r="C186" s="26" t="b">
        <v>0</v>
      </c>
      <c r="D186" s="26" t="s">
        <v>416</v>
      </c>
      <c r="E186" s="26" t="s">
        <v>422</v>
      </c>
      <c r="F186" s="26" t="s">
        <v>263</v>
      </c>
      <c r="G186" s="26" t="s">
        <v>263</v>
      </c>
      <c r="H186" s="15" t="str">
        <f>IFERROR(IF(ISNUMBER('Score — Comp 2'!E50),'Score — Comp 2'!E50,""),"")</f>
        <v/>
      </c>
    </row>
    <row r="187" spans="1:8">
      <c r="A187" s="28">
        <f>'Snapshot Setup'!$B$4</f>
        <v>46174</v>
      </c>
      <c r="B187" s="26" t="str">
        <f>IF('Snapshot Setup'!B8="","",'Snapshot Setup'!B8)</f>
        <v>P&amp;G Home Care (Mr. Clean, Microban 24)</v>
      </c>
      <c r="C187" s="26" t="b">
        <v>0</v>
      </c>
      <c r="D187" s="26" t="s">
        <v>416</v>
      </c>
      <c r="E187" s="26" t="s">
        <v>426</v>
      </c>
      <c r="F187" s="26" t="s">
        <v>263</v>
      </c>
      <c r="G187" s="26" t="s">
        <v>263</v>
      </c>
      <c r="H187" s="15" t="str">
        <f>IFERROR(IF(ISNUMBER('Score — Comp 2'!E51),'Score — Comp 2'!E51,""),"")</f>
        <v/>
      </c>
    </row>
    <row r="188" spans="1:8">
      <c r="A188" s="28">
        <f>'Snapshot Setup'!$B$4</f>
        <v>46174</v>
      </c>
      <c r="B188" s="26" t="str">
        <f>IF('Snapshot Setup'!B8="","",'Snapshot Setup'!B8)</f>
        <v>P&amp;G Home Care (Mr. Clean, Microban 24)</v>
      </c>
      <c r="C188" s="26" t="b">
        <v>0</v>
      </c>
      <c r="D188" s="26" t="s">
        <v>416</v>
      </c>
      <c r="E188" s="26" t="s">
        <v>429</v>
      </c>
      <c r="F188" s="26" t="s">
        <v>263</v>
      </c>
      <c r="G188" s="26" t="s">
        <v>263</v>
      </c>
      <c r="H188" s="15" t="str">
        <f>IFERROR(IF(ISNUMBER('Score — Comp 2'!E52),'Score — Comp 2'!E52,""),"")</f>
        <v/>
      </c>
    </row>
    <row r="189" spans="1:8">
      <c r="A189" s="28">
        <f>'Snapshot Setup'!$B$4</f>
        <v>46174</v>
      </c>
      <c r="B189" s="26" t="str">
        <f>IF('Snapshot Setup'!B8="","",'Snapshot Setup'!B8)</f>
        <v>P&amp;G Home Care (Mr. Clean, Microban 24)</v>
      </c>
      <c r="C189" s="26" t="b">
        <v>0</v>
      </c>
      <c r="D189" s="26" t="s">
        <v>416</v>
      </c>
      <c r="E189" s="26" t="s">
        <v>432</v>
      </c>
      <c r="F189" s="26" t="s">
        <v>263</v>
      </c>
      <c r="G189" s="26" t="s">
        <v>263</v>
      </c>
      <c r="H189" s="15" t="str">
        <f>IFERROR(IF(ISNUMBER('Score — Comp 2'!E53),'Score — Comp 2'!E53,""),"")</f>
        <v/>
      </c>
    </row>
    <row r="190" spans="1:8">
      <c r="A190" s="28">
        <f>'Snapshot Setup'!$B$4</f>
        <v>46174</v>
      </c>
      <c r="B190" s="26" t="str">
        <f>IF('Snapshot Setup'!B8="","",'Snapshot Setup'!B8)</f>
        <v>P&amp;G Home Care (Mr. Clean, Microban 24)</v>
      </c>
      <c r="C190" s="26" t="b">
        <v>0</v>
      </c>
      <c r="D190" s="26" t="s">
        <v>416</v>
      </c>
      <c r="E190" s="26" t="s">
        <v>436</v>
      </c>
      <c r="F190" s="26" t="s">
        <v>263</v>
      </c>
      <c r="G190" s="26" t="s">
        <v>263</v>
      </c>
      <c r="H190" s="15" t="str">
        <f>IFERROR(IF(ISNUMBER('Score — Comp 2'!E54),'Score — Comp 2'!E54,""),"")</f>
        <v/>
      </c>
    </row>
    <row r="191" spans="1:8">
      <c r="A191" s="28">
        <f>'Snapshot Setup'!$B$4</f>
        <v>46174</v>
      </c>
      <c r="B191" s="26" t="str">
        <f>IF('Snapshot Setup'!B8="","",'Snapshot Setup'!B8)</f>
        <v>P&amp;G Home Care (Mr. Clean, Microban 24)</v>
      </c>
      <c r="C191" s="26" t="b">
        <v>0</v>
      </c>
      <c r="D191" s="26" t="s">
        <v>416</v>
      </c>
      <c r="E191" s="26" t="s">
        <v>439</v>
      </c>
      <c r="F191" s="26" t="s">
        <v>263</v>
      </c>
      <c r="G191" s="26" t="s">
        <v>263</v>
      </c>
      <c r="H191" s="15" t="str">
        <f>IFERROR(IF(ISNUMBER('Score — Comp 2'!E55),'Score — Comp 2'!E55,""),"")</f>
        <v/>
      </c>
    </row>
    <row r="192" spans="1:8">
      <c r="A192" s="28">
        <f>'Snapshot Setup'!$B$4</f>
        <v>46174</v>
      </c>
      <c r="B192" s="26" t="str">
        <f>IF('Snapshot Setup'!B8="","",'Snapshot Setup'!B8)</f>
        <v>P&amp;G Home Care (Mr. Clean, Microban 24)</v>
      </c>
      <c r="C192" s="26" t="b">
        <v>0</v>
      </c>
      <c r="D192" s="26" t="s">
        <v>416</v>
      </c>
      <c r="E192" s="26" t="s">
        <v>442</v>
      </c>
      <c r="F192" s="26" t="s">
        <v>263</v>
      </c>
      <c r="G192" s="26" t="s">
        <v>263</v>
      </c>
      <c r="H192" s="15" t="str">
        <f>IFERROR(IF(ISNUMBER('Score — Comp 2'!E56),'Score — Comp 2'!E56,""),"")</f>
        <v/>
      </c>
    </row>
    <row r="193" spans="1:8">
      <c r="A193" s="28">
        <f>'Snapshot Setup'!$B$4</f>
        <v>46174</v>
      </c>
      <c r="B193" s="26" t="str">
        <f>IF('Snapshot Setup'!B8="","",'Snapshot Setup'!B8)</f>
        <v>P&amp;G Home Care (Mr. Clean, Microban 24)</v>
      </c>
      <c r="C193" s="26" t="b">
        <v>0</v>
      </c>
      <c r="D193" s="26" t="s">
        <v>416</v>
      </c>
      <c r="E193" s="26" t="s">
        <v>445</v>
      </c>
      <c r="F193" s="26" t="s">
        <v>263</v>
      </c>
      <c r="G193" s="26" t="s">
        <v>263</v>
      </c>
      <c r="H193" s="15" t="str">
        <f>IFERROR(IF(ISNUMBER('Score — Comp 2'!E57),'Score — Comp 2'!E57,""),"")</f>
        <v/>
      </c>
    </row>
    <row r="194" spans="1:8">
      <c r="A194" s="28">
        <f>'Snapshot Setup'!$B$4</f>
        <v>46174</v>
      </c>
      <c r="B194" s="26" t="str">
        <f>IF('Snapshot Setup'!B8="","",'Snapshot Setup'!B8)</f>
        <v>P&amp;G Home Care (Mr. Clean, Microban 24)</v>
      </c>
      <c r="C194" s="26" t="b">
        <v>0</v>
      </c>
      <c r="D194" s="26" t="s">
        <v>416</v>
      </c>
      <c r="E194" s="26" t="s">
        <v>448</v>
      </c>
      <c r="F194" s="26" t="s">
        <v>173</v>
      </c>
      <c r="G194" s="26" t="s">
        <v>449</v>
      </c>
      <c r="H194" s="15" t="str">
        <f>IFERROR(IF(ISNUMBER('Score — Comp 2'!E58),'Score — Comp 2'!E58,""),"")</f>
        <v/>
      </c>
    </row>
    <row r="195" spans="1:8">
      <c r="A195" s="28">
        <f>'Snapshot Setup'!$B$4</f>
        <v>46174</v>
      </c>
      <c r="B195" s="26" t="str">
        <f>IF('Snapshot Setup'!B8="","",'Snapshot Setup'!B8)</f>
        <v>P&amp;G Home Care (Mr. Clean, Microban 24)</v>
      </c>
      <c r="C195" s="26" t="b">
        <v>0</v>
      </c>
      <c r="D195" s="26" t="s">
        <v>416</v>
      </c>
      <c r="E195" s="26" t="s">
        <v>452</v>
      </c>
      <c r="F195" s="26" t="s">
        <v>173</v>
      </c>
      <c r="G195" s="26" t="s">
        <v>449</v>
      </c>
      <c r="H195" s="15">
        <f>IFERROR(IF(ISNUMBER('Score — Comp 2'!E59),'Score — Comp 2'!E59,""),"")</f>
        <v>62</v>
      </c>
    </row>
    <row r="196" spans="1:8">
      <c r="A196" s="28">
        <f>'Snapshot Setup'!$B$4</f>
        <v>46174</v>
      </c>
      <c r="B196" s="26" t="str">
        <f>IF('Snapshot Setup'!B8="","",'Snapshot Setup'!B8)</f>
        <v>P&amp;G Home Care (Mr. Clean, Microban 24)</v>
      </c>
      <c r="C196" s="26" t="b">
        <v>0</v>
      </c>
      <c r="D196" s="26" t="s">
        <v>457</v>
      </c>
      <c r="E196" s="26" t="s">
        <v>458</v>
      </c>
      <c r="F196" s="26" t="s">
        <v>170</v>
      </c>
      <c r="G196" s="26" t="s">
        <v>353</v>
      </c>
      <c r="H196" s="15">
        <f>IFERROR(IF(ISNUMBER('Score — Comp 2'!E60),'Score — Comp 2'!E60,""),"")</f>
        <v>54</v>
      </c>
    </row>
    <row r="197" spans="1:8">
      <c r="A197" s="28">
        <f>'Snapshot Setup'!$B$4</f>
        <v>46174</v>
      </c>
      <c r="B197" s="26" t="str">
        <f>IF('Snapshot Setup'!B8="","",'Snapshot Setup'!B8)</f>
        <v>P&amp;G Home Care (Mr. Clean, Microban 24)</v>
      </c>
      <c r="C197" s="26" t="b">
        <v>0</v>
      </c>
      <c r="D197" s="26" t="s">
        <v>457</v>
      </c>
      <c r="E197" s="26" t="s">
        <v>462</v>
      </c>
      <c r="F197" s="26" t="s">
        <v>263</v>
      </c>
      <c r="G197" s="26" t="s">
        <v>263</v>
      </c>
      <c r="H197" s="15" t="str">
        <f>IFERROR(IF(ISNUMBER('Score — Comp 2'!E61),'Score — Comp 2'!E61,""),"")</f>
        <v/>
      </c>
    </row>
    <row r="198" spans="1:8">
      <c r="A198" s="28">
        <f>'Snapshot Setup'!$B$4</f>
        <v>46174</v>
      </c>
      <c r="B198" s="26" t="str">
        <f>IF('Snapshot Setup'!B8="","",'Snapshot Setup'!B8)</f>
        <v>P&amp;G Home Care (Mr. Clean, Microban 24)</v>
      </c>
      <c r="C198" s="26" t="b">
        <v>0</v>
      </c>
      <c r="D198" s="26" t="s">
        <v>457</v>
      </c>
      <c r="E198" s="26" t="s">
        <v>465</v>
      </c>
      <c r="F198" s="26" t="s">
        <v>173</v>
      </c>
      <c r="G198" s="26" t="s">
        <v>278</v>
      </c>
      <c r="H198" s="15">
        <f>IFERROR(IF(ISNUMBER('Score — Comp 2'!E62),'Score — Comp 2'!E62,""),"")</f>
        <v>30</v>
      </c>
    </row>
    <row r="199" spans="1:8">
      <c r="A199" s="28">
        <f>'Snapshot Setup'!$B$4</f>
        <v>46174</v>
      </c>
      <c r="B199" s="26" t="str">
        <f>IF('Snapshot Setup'!B8="","",'Snapshot Setup'!B8)</f>
        <v>P&amp;G Home Care (Mr. Clean, Microban 24)</v>
      </c>
      <c r="C199" s="26" t="b">
        <v>0</v>
      </c>
      <c r="D199" s="26" t="s">
        <v>457</v>
      </c>
      <c r="E199" s="26" t="s">
        <v>469</v>
      </c>
      <c r="F199" s="26" t="s">
        <v>173</v>
      </c>
      <c r="G199" s="26" t="s">
        <v>278</v>
      </c>
      <c r="H199" s="15">
        <f>IFERROR(IF(ISNUMBER('Score — Comp 2'!E63),'Score — Comp 2'!E63,""),"")</f>
        <v>28</v>
      </c>
    </row>
    <row r="200" spans="1:8">
      <c r="A200" s="28">
        <f>'Snapshot Setup'!$B$4</f>
        <v>46174</v>
      </c>
      <c r="B200" s="26" t="str">
        <f>IF('Snapshot Setup'!B8="","",'Snapshot Setup'!B8)</f>
        <v>P&amp;G Home Care (Mr. Clean, Microban 24)</v>
      </c>
      <c r="C200" s="26" t="b">
        <v>0</v>
      </c>
      <c r="D200" s="26" t="s">
        <v>457</v>
      </c>
      <c r="E200" s="26" t="s">
        <v>473</v>
      </c>
      <c r="F200" s="26" t="s">
        <v>172</v>
      </c>
      <c r="G200" s="26" t="s">
        <v>334</v>
      </c>
      <c r="H200" s="15">
        <f>IFERROR(IF(ISNUMBER('Score — Comp 2'!E64),'Score — Comp 2'!E64,""),"")</f>
        <v>34</v>
      </c>
    </row>
    <row r="201" spans="1:8">
      <c r="A201" s="28">
        <f>'Snapshot Setup'!$B$4</f>
        <v>46174</v>
      </c>
      <c r="B201" s="26" t="str">
        <f>IF('Snapshot Setup'!B8="","",'Snapshot Setup'!B8)</f>
        <v>P&amp;G Home Care (Mr. Clean, Microban 24)</v>
      </c>
      <c r="C201" s="26" t="b">
        <v>0</v>
      </c>
      <c r="D201" s="26" t="s">
        <v>457</v>
      </c>
      <c r="E201" s="26" t="s">
        <v>476</v>
      </c>
      <c r="F201" s="26" t="s">
        <v>172</v>
      </c>
      <c r="G201" s="26" t="s">
        <v>477</v>
      </c>
      <c r="H201" s="15">
        <f>IFERROR(IF(ISNUMBER('Score — Comp 2'!E65),'Score — Comp 2'!E65,""),"")</f>
        <v>22</v>
      </c>
    </row>
    <row r="202" spans="1:8">
      <c r="A202" s="28">
        <f>'Snapshot Setup'!$B$4</f>
        <v>46174</v>
      </c>
      <c r="B202" s="26" t="str">
        <f>IF('Snapshot Setup'!B8="","",'Snapshot Setup'!B8)</f>
        <v>P&amp;G Home Care (Mr. Clean, Microban 24)</v>
      </c>
      <c r="C202" s="26" t="b">
        <v>0</v>
      </c>
      <c r="D202" s="26" t="s">
        <v>457</v>
      </c>
      <c r="E202" s="26" t="s">
        <v>480</v>
      </c>
      <c r="F202" s="26" t="s">
        <v>173</v>
      </c>
      <c r="G202" s="26" t="s">
        <v>278</v>
      </c>
      <c r="H202" s="15">
        <f>IFERROR(IF(ISNUMBER('Score — Comp 2'!E66),'Score — Comp 2'!E66,""),"")</f>
        <v>28</v>
      </c>
    </row>
    <row r="203" spans="1:8">
      <c r="A203" s="28">
        <f>'Snapshot Setup'!$B$4</f>
        <v>46174</v>
      </c>
      <c r="B203" s="26" t="str">
        <f>IF('Snapshot Setup'!B8="","",'Snapshot Setup'!B8)</f>
        <v>P&amp;G Home Care (Mr. Clean, Microban 24)</v>
      </c>
      <c r="C203" s="26" t="b">
        <v>0</v>
      </c>
      <c r="D203" s="26" t="s">
        <v>457</v>
      </c>
      <c r="E203" s="26" t="s">
        <v>484</v>
      </c>
      <c r="F203" s="26" t="s">
        <v>173</v>
      </c>
      <c r="G203" s="26" t="s">
        <v>278</v>
      </c>
      <c r="H203" s="15">
        <f>IFERROR(IF(ISNUMBER('Score — Comp 2'!E67),'Score — Comp 2'!E67,""),"")</f>
        <v>30</v>
      </c>
    </row>
    <row r="204" spans="1:8">
      <c r="A204" s="28">
        <f>'Snapshot Setup'!$B$4</f>
        <v>46174</v>
      </c>
      <c r="B204" s="26" t="str">
        <f>IF('Snapshot Setup'!B8="","",'Snapshot Setup'!B8)</f>
        <v>P&amp;G Home Care (Mr. Clean, Microban 24)</v>
      </c>
      <c r="C204" s="26" t="b">
        <v>0</v>
      </c>
      <c r="D204" s="26" t="s">
        <v>457</v>
      </c>
      <c r="E204" s="26" t="s">
        <v>487</v>
      </c>
      <c r="F204" s="26" t="s">
        <v>173</v>
      </c>
      <c r="G204" s="26" t="s">
        <v>278</v>
      </c>
      <c r="H204" s="15">
        <f>IFERROR(IF(ISNUMBER('Score — Comp 2'!E68),'Score — Comp 2'!E68,""),"")</f>
        <v>0</v>
      </c>
    </row>
    <row r="205" spans="1:8">
      <c r="A205" s="28">
        <f>'Snapshot Setup'!$B$4</f>
        <v>46174</v>
      </c>
      <c r="B205" s="26" t="str">
        <f>IF('Snapshot Setup'!B8="","",'Snapshot Setup'!B8)</f>
        <v>P&amp;G Home Care (Mr. Clean, Microban 24)</v>
      </c>
      <c r="C205" s="26" t="b">
        <v>0</v>
      </c>
      <c r="D205" s="26" t="s">
        <v>492</v>
      </c>
      <c r="E205" s="26" t="s">
        <v>493</v>
      </c>
      <c r="F205" s="26" t="s">
        <v>171</v>
      </c>
      <c r="G205" s="26" t="s">
        <v>231</v>
      </c>
      <c r="H205" s="15">
        <f>IFERROR(IF(ISNUMBER('Score — Comp 2'!E69),'Score — Comp 2'!E69,""),"")</f>
        <v>62</v>
      </c>
    </row>
    <row r="206" spans="1:8">
      <c r="A206" s="28">
        <f>'Snapshot Setup'!$B$4</f>
        <v>46174</v>
      </c>
      <c r="B206" s="26" t="str">
        <f>IF('Snapshot Setup'!B8="","",'Snapshot Setup'!B8)</f>
        <v>P&amp;G Home Care (Mr. Clean, Microban 24)</v>
      </c>
      <c r="C206" s="26" t="b">
        <v>0</v>
      </c>
      <c r="D206" s="26" t="s">
        <v>492</v>
      </c>
      <c r="E206" s="26" t="s">
        <v>498</v>
      </c>
      <c r="F206" s="26" t="s">
        <v>170</v>
      </c>
      <c r="G206" s="26" t="s">
        <v>313</v>
      </c>
      <c r="H206" s="15">
        <f>IFERROR(IF(ISNUMBER('Score — Comp 2'!E70),'Score — Comp 2'!E70,""),"")</f>
        <v>68</v>
      </c>
    </row>
    <row r="207" spans="1:8">
      <c r="A207" s="28">
        <f>'Snapshot Setup'!$B$4</f>
        <v>46174</v>
      </c>
      <c r="B207" s="26" t="str">
        <f>IF('Snapshot Setup'!B8="","",'Snapshot Setup'!B8)</f>
        <v>P&amp;G Home Care (Mr. Clean, Microban 24)</v>
      </c>
      <c r="C207" s="26" t="b">
        <v>0</v>
      </c>
      <c r="D207" s="26" t="s">
        <v>492</v>
      </c>
      <c r="E207" s="26" t="s">
        <v>501</v>
      </c>
      <c r="F207" s="26" t="s">
        <v>170</v>
      </c>
      <c r="G207" s="26" t="s">
        <v>313</v>
      </c>
      <c r="H207" s="15">
        <f>IFERROR(IF(ISNUMBER('Score — Comp 2'!E71),'Score — Comp 2'!E71,""),"")</f>
        <v>64</v>
      </c>
    </row>
    <row r="208" spans="1:8">
      <c r="A208" s="28">
        <f>'Snapshot Setup'!$B$4</f>
        <v>46174</v>
      </c>
      <c r="B208" s="26" t="str">
        <f>IF('Snapshot Setup'!B9="","",'Snapshot Setup'!B9)</f>
        <v>Seventh Generation</v>
      </c>
      <c r="C208" s="26" t="b">
        <v>0</v>
      </c>
      <c r="D208" s="26" t="s">
        <v>191</v>
      </c>
      <c r="E208" s="26" t="s">
        <v>192</v>
      </c>
      <c r="F208" s="26" t="s">
        <v>171</v>
      </c>
      <c r="G208" s="26" t="s">
        <v>194</v>
      </c>
      <c r="H208" s="15">
        <f>IFERROR(IF(ISNUMBER('Score — Comp 3'!E4),'Score — Comp 3'!E4,""),"")</f>
        <v>86</v>
      </c>
    </row>
    <row r="209" spans="1:8">
      <c r="A209" s="28">
        <f>'Snapshot Setup'!$B$4</f>
        <v>46174</v>
      </c>
      <c r="B209" s="26" t="str">
        <f>IF('Snapshot Setup'!B9="","",'Snapshot Setup'!B9)</f>
        <v>Seventh Generation</v>
      </c>
      <c r="C209" s="26" t="b">
        <v>0</v>
      </c>
      <c r="D209" s="26" t="s">
        <v>191</v>
      </c>
      <c r="E209" s="26" t="s">
        <v>199</v>
      </c>
      <c r="F209" s="26" t="s">
        <v>171</v>
      </c>
      <c r="G209" s="26" t="s">
        <v>194</v>
      </c>
      <c r="H209" s="15">
        <f>IFERROR(IF(ISNUMBER('Score — Comp 3'!E5),'Score — Comp 3'!E5,""),"")</f>
        <v>66</v>
      </c>
    </row>
    <row r="210" spans="1:8">
      <c r="A210" s="28">
        <f>'Snapshot Setup'!$B$4</f>
        <v>46174</v>
      </c>
      <c r="B210" s="26" t="str">
        <f>IF('Snapshot Setup'!B9="","",'Snapshot Setup'!B9)</f>
        <v>Seventh Generation</v>
      </c>
      <c r="C210" s="26" t="b">
        <v>0</v>
      </c>
      <c r="D210" s="26" t="s">
        <v>191</v>
      </c>
      <c r="E210" s="26" t="s">
        <v>204</v>
      </c>
      <c r="F210" s="26" t="s">
        <v>171</v>
      </c>
      <c r="G210" s="26" t="s">
        <v>194</v>
      </c>
      <c r="H210" s="15">
        <f>IFERROR(IF(ISNUMBER('Score — Comp 3'!E6),'Score — Comp 3'!E6,""),"")</f>
        <v>88</v>
      </c>
    </row>
    <row r="211" spans="1:8">
      <c r="A211" s="28">
        <f>'Snapshot Setup'!$B$4</f>
        <v>46174</v>
      </c>
      <c r="B211" s="26" t="str">
        <f>IF('Snapshot Setup'!B9="","",'Snapshot Setup'!B9)</f>
        <v>Seventh Generation</v>
      </c>
      <c r="C211" s="26" t="b">
        <v>0</v>
      </c>
      <c r="D211" s="26" t="s">
        <v>191</v>
      </c>
      <c r="E211" s="26" t="s">
        <v>209</v>
      </c>
      <c r="F211" s="26" t="s">
        <v>171</v>
      </c>
      <c r="G211" s="26" t="s">
        <v>194</v>
      </c>
      <c r="H211" s="15">
        <f>IFERROR(IF(ISNUMBER('Score — Comp 3'!E7),'Score — Comp 3'!E7,""),"")</f>
        <v>56</v>
      </c>
    </row>
    <row r="212" spans="1:8">
      <c r="A212" s="28">
        <f>'Snapshot Setup'!$B$4</f>
        <v>46174</v>
      </c>
      <c r="B212" s="26" t="str">
        <f>IF('Snapshot Setup'!B9="","",'Snapshot Setup'!B9)</f>
        <v>Seventh Generation</v>
      </c>
      <c r="C212" s="26" t="b">
        <v>0</v>
      </c>
      <c r="D212" s="26" t="s">
        <v>191</v>
      </c>
      <c r="E212" s="26" t="s">
        <v>214</v>
      </c>
      <c r="F212" s="26" t="s">
        <v>171</v>
      </c>
      <c r="G212" s="26" t="s">
        <v>194</v>
      </c>
      <c r="H212" s="15">
        <f>IFERROR(IF(ISNUMBER('Score — Comp 3'!E8),'Score — Comp 3'!E8,""),"")</f>
        <v>62</v>
      </c>
    </row>
    <row r="213" spans="1:8">
      <c r="A213" s="28">
        <f>'Snapshot Setup'!$B$4</f>
        <v>46174</v>
      </c>
      <c r="B213" s="26" t="str">
        <f>IF('Snapshot Setup'!B9="","",'Snapshot Setup'!B9)</f>
        <v>Seventh Generation</v>
      </c>
      <c r="C213" s="26" t="b">
        <v>0</v>
      </c>
      <c r="D213" s="26" t="s">
        <v>191</v>
      </c>
      <c r="E213" s="26" t="s">
        <v>219</v>
      </c>
      <c r="F213" s="26" t="s">
        <v>171</v>
      </c>
      <c r="G213" s="26" t="s">
        <v>194</v>
      </c>
      <c r="H213" s="15">
        <f>IFERROR(IF(ISNUMBER('Score — Comp 3'!E9),'Score — Comp 3'!E9,""),"")</f>
        <v>82</v>
      </c>
    </row>
    <row r="214" spans="1:8">
      <c r="A214" s="28">
        <f>'Snapshot Setup'!$B$4</f>
        <v>46174</v>
      </c>
      <c r="B214" s="26" t="str">
        <f>IF('Snapshot Setup'!B9="","",'Snapshot Setup'!B9)</f>
        <v>Seventh Generation</v>
      </c>
      <c r="C214" s="26" t="b">
        <v>0</v>
      </c>
      <c r="D214" s="26" t="s">
        <v>191</v>
      </c>
      <c r="E214" s="26" t="s">
        <v>223</v>
      </c>
      <c r="F214" s="26" t="s">
        <v>173</v>
      </c>
      <c r="G214" s="26" t="s">
        <v>224</v>
      </c>
      <c r="H214" s="15">
        <f>IFERROR(IF(ISNUMBER('Score — Comp 3'!E10),'Score — Comp 3'!E10,""),"")</f>
        <v>48</v>
      </c>
    </row>
    <row r="215" spans="1:8">
      <c r="A215" s="28">
        <f>'Snapshot Setup'!$B$4</f>
        <v>46174</v>
      </c>
      <c r="B215" s="26" t="str">
        <f>IF('Snapshot Setup'!B9="","",'Snapshot Setup'!B9)</f>
        <v>Seventh Generation</v>
      </c>
      <c r="C215" s="26" t="b">
        <v>0</v>
      </c>
      <c r="D215" s="26" t="s">
        <v>191</v>
      </c>
      <c r="E215" s="26" t="s">
        <v>230</v>
      </c>
      <c r="F215" s="26" t="s">
        <v>171</v>
      </c>
      <c r="G215" s="26" t="s">
        <v>231</v>
      </c>
      <c r="H215" s="15">
        <f>IFERROR(IF(ISNUMBER('Score — Comp 3'!E11),'Score — Comp 3'!E11,""),"")</f>
        <v>42</v>
      </c>
    </row>
    <row r="216" spans="1:8">
      <c r="A216" s="28">
        <f>'Snapshot Setup'!$B$4</f>
        <v>46174</v>
      </c>
      <c r="B216" s="26" t="str">
        <f>IF('Snapshot Setup'!B9="","",'Snapshot Setup'!B9)</f>
        <v>Seventh Generation</v>
      </c>
      <c r="C216" s="26" t="b">
        <v>0</v>
      </c>
      <c r="D216" s="26" t="s">
        <v>191</v>
      </c>
      <c r="E216" s="26" t="s">
        <v>236</v>
      </c>
      <c r="F216" s="26" t="s">
        <v>171</v>
      </c>
      <c r="G216" s="26" t="s">
        <v>231</v>
      </c>
      <c r="H216" s="15" t="str">
        <f>IFERROR(IF(ISNUMBER('Score — Comp 3'!E12),'Score — Comp 3'!E12,""),"")</f>
        <v/>
      </c>
    </row>
    <row r="217" spans="1:8">
      <c r="A217" s="28">
        <f>'Snapshot Setup'!$B$4</f>
        <v>46174</v>
      </c>
      <c r="B217" s="26" t="str">
        <f>IF('Snapshot Setup'!B9="","",'Snapshot Setup'!B9)</f>
        <v>Seventh Generation</v>
      </c>
      <c r="C217" s="26" t="b">
        <v>0</v>
      </c>
      <c r="D217" s="26" t="s">
        <v>191</v>
      </c>
      <c r="E217" s="26" t="s">
        <v>240</v>
      </c>
      <c r="F217" s="26" t="s">
        <v>173</v>
      </c>
      <c r="G217" s="26" t="s">
        <v>241</v>
      </c>
      <c r="H217" s="15">
        <f>IFERROR(IF(ISNUMBER('Score — Comp 3'!E13),'Score — Comp 3'!E13,""),"")</f>
        <v>52</v>
      </c>
    </row>
    <row r="218" spans="1:8">
      <c r="A218" s="28">
        <f>'Snapshot Setup'!$B$4</f>
        <v>46174</v>
      </c>
      <c r="B218" s="26" t="str">
        <f>IF('Snapshot Setup'!B9="","",'Snapshot Setup'!B9)</f>
        <v>Seventh Generation</v>
      </c>
      <c r="C218" s="26" t="b">
        <v>0</v>
      </c>
      <c r="D218" s="26" t="s">
        <v>191</v>
      </c>
      <c r="E218" s="26" t="s">
        <v>246</v>
      </c>
      <c r="F218" s="26" t="s">
        <v>171</v>
      </c>
      <c r="G218" s="26" t="s">
        <v>231</v>
      </c>
      <c r="H218" s="15">
        <f>IFERROR(IF(ISNUMBER('Score — Comp 3'!E14),'Score — Comp 3'!E14,""),"")</f>
        <v>56</v>
      </c>
    </row>
    <row r="219" spans="1:8">
      <c r="A219" s="28">
        <f>'Snapshot Setup'!$B$4</f>
        <v>46174</v>
      </c>
      <c r="B219" s="26" t="str">
        <f>IF('Snapshot Setup'!B9="","",'Snapshot Setup'!B9)</f>
        <v>Seventh Generation</v>
      </c>
      <c r="C219" s="26" t="b">
        <v>0</v>
      </c>
      <c r="D219" s="26" t="s">
        <v>191</v>
      </c>
      <c r="E219" s="26" t="s">
        <v>250</v>
      </c>
      <c r="F219" s="26" t="s">
        <v>171</v>
      </c>
      <c r="G219" s="26" t="s">
        <v>251</v>
      </c>
      <c r="H219" s="15">
        <f>IFERROR(IF(ISNUMBER('Score — Comp 3'!E15),'Score — Comp 3'!E15,""),"")</f>
        <v>76</v>
      </c>
    </row>
    <row r="220" spans="1:8">
      <c r="A220" s="28">
        <f>'Snapshot Setup'!$B$4</f>
        <v>46174</v>
      </c>
      <c r="B220" s="26" t="str">
        <f>IF('Snapshot Setup'!B9="","",'Snapshot Setup'!B9)</f>
        <v>Seventh Generation</v>
      </c>
      <c r="C220" s="26" t="b">
        <v>0</v>
      </c>
      <c r="D220" s="26" t="s">
        <v>191</v>
      </c>
      <c r="E220" s="26" t="s">
        <v>256</v>
      </c>
      <c r="F220" s="26" t="s">
        <v>173</v>
      </c>
      <c r="G220" s="26" t="s">
        <v>241</v>
      </c>
      <c r="H220" s="15">
        <f>IFERROR(IF(ISNUMBER('Score — Comp 3'!E16),'Score — Comp 3'!E16,""),"")</f>
        <v>70</v>
      </c>
    </row>
    <row r="221" spans="1:8">
      <c r="A221" s="28">
        <f>'Snapshot Setup'!$B$4</f>
        <v>46174</v>
      </c>
      <c r="B221" s="26" t="str">
        <f>IF('Snapshot Setup'!B9="","",'Snapshot Setup'!B9)</f>
        <v>Seventh Generation</v>
      </c>
      <c r="C221" s="26" t="b">
        <v>0</v>
      </c>
      <c r="D221" s="26" t="s">
        <v>191</v>
      </c>
      <c r="E221" s="26" t="s">
        <v>261</v>
      </c>
      <c r="F221" s="26" t="s">
        <v>263</v>
      </c>
      <c r="G221" s="26" t="s">
        <v>263</v>
      </c>
      <c r="H221" s="15" t="str">
        <f>IFERROR(IF(ISNUMBER('Score — Comp 3'!E17),'Score — Comp 3'!E17,""),"")</f>
        <v/>
      </c>
    </row>
    <row r="222" spans="1:8">
      <c r="A222" s="28">
        <f>'Snapshot Setup'!$B$4</f>
        <v>46174</v>
      </c>
      <c r="B222" s="26" t="str">
        <f>IF('Snapshot Setup'!B9="","",'Snapshot Setup'!B9)</f>
        <v>Seventh Generation</v>
      </c>
      <c r="C222" s="26" t="b">
        <v>0</v>
      </c>
      <c r="D222" s="26" t="s">
        <v>191</v>
      </c>
      <c r="E222" s="26" t="s">
        <v>267</v>
      </c>
      <c r="F222" s="26" t="s">
        <v>263</v>
      </c>
      <c r="G222" s="26" t="s">
        <v>263</v>
      </c>
      <c r="H222" s="15" t="str">
        <f>IFERROR(IF(ISNUMBER('Score — Comp 3'!E18),'Score — Comp 3'!E18,""),"")</f>
        <v/>
      </c>
    </row>
    <row r="223" spans="1:8">
      <c r="A223" s="28">
        <f>'Snapshot Setup'!$B$4</f>
        <v>46174</v>
      </c>
      <c r="B223" s="26" t="str">
        <f>IF('Snapshot Setup'!B9="","",'Snapshot Setup'!B9)</f>
        <v>Seventh Generation</v>
      </c>
      <c r="C223" s="26" t="b">
        <v>0</v>
      </c>
      <c r="D223" s="26" t="s">
        <v>191</v>
      </c>
      <c r="E223" s="26" t="s">
        <v>272</v>
      </c>
      <c r="F223" s="26" t="s">
        <v>173</v>
      </c>
      <c r="G223" s="26" t="s">
        <v>273</v>
      </c>
      <c r="H223" s="15">
        <f>IFERROR(IF(ISNUMBER('Score — Comp 3'!E19),'Score — Comp 3'!E19,""),"")</f>
        <v>64</v>
      </c>
    </row>
    <row r="224" spans="1:8">
      <c r="A224" s="28">
        <f>'Snapshot Setup'!$B$4</f>
        <v>46174</v>
      </c>
      <c r="B224" s="26" t="str">
        <f>IF('Snapshot Setup'!B9="","",'Snapshot Setup'!B9)</f>
        <v>Seventh Generation</v>
      </c>
      <c r="C224" s="26" t="b">
        <v>0</v>
      </c>
      <c r="D224" s="26" t="s">
        <v>191</v>
      </c>
      <c r="E224" s="26" t="s">
        <v>277</v>
      </c>
      <c r="F224" s="26" t="s">
        <v>173</v>
      </c>
      <c r="G224" s="26" t="s">
        <v>278</v>
      </c>
      <c r="H224" s="15">
        <f>IFERROR(IF(ISNUMBER('Score — Comp 3'!E20),'Score — Comp 3'!E20,""),"")</f>
        <v>56</v>
      </c>
    </row>
    <row r="225" spans="1:8">
      <c r="A225" s="28">
        <f>'Snapshot Setup'!$B$4</f>
        <v>46174</v>
      </c>
      <c r="B225" s="26" t="str">
        <f>IF('Snapshot Setup'!B9="","",'Snapshot Setup'!B9)</f>
        <v>Seventh Generation</v>
      </c>
      <c r="C225" s="26" t="b">
        <v>0</v>
      </c>
      <c r="D225" s="26" t="s">
        <v>191</v>
      </c>
      <c r="E225" s="26" t="s">
        <v>283</v>
      </c>
      <c r="F225" s="26" t="s">
        <v>170</v>
      </c>
      <c r="G225" s="26" t="s">
        <v>284</v>
      </c>
      <c r="H225" s="15">
        <f>IFERROR(IF(ISNUMBER('Score — Comp 3'!E21),'Score — Comp 3'!E21,""),"")</f>
        <v>64</v>
      </c>
    </row>
    <row r="226" spans="1:8">
      <c r="A226" s="28">
        <f>'Snapshot Setup'!$B$4</f>
        <v>46174</v>
      </c>
      <c r="B226" s="26" t="str">
        <f>IF('Snapshot Setup'!B9="","",'Snapshot Setup'!B9)</f>
        <v>Seventh Generation</v>
      </c>
      <c r="C226" s="26" t="b">
        <v>0</v>
      </c>
      <c r="D226" s="26" t="s">
        <v>191</v>
      </c>
      <c r="E226" s="26" t="s">
        <v>288</v>
      </c>
      <c r="F226" s="26" t="s">
        <v>170</v>
      </c>
      <c r="G226" s="26" t="s">
        <v>284</v>
      </c>
      <c r="H226" s="15">
        <f>IFERROR(IF(ISNUMBER('Score — Comp 3'!E22),'Score — Comp 3'!E22,""),"")</f>
        <v>58</v>
      </c>
    </row>
    <row r="227" spans="1:8">
      <c r="A227" s="28">
        <f>'Snapshot Setup'!$B$4</f>
        <v>46174</v>
      </c>
      <c r="B227" s="26" t="str">
        <f>IF('Snapshot Setup'!B9="","",'Snapshot Setup'!B9)</f>
        <v>Seventh Generation</v>
      </c>
      <c r="C227" s="26" t="b">
        <v>0</v>
      </c>
      <c r="D227" s="26" t="s">
        <v>191</v>
      </c>
      <c r="E227" s="26" t="s">
        <v>292</v>
      </c>
      <c r="F227" s="26" t="s">
        <v>171</v>
      </c>
      <c r="G227" s="26" t="s">
        <v>194</v>
      </c>
      <c r="H227" s="15">
        <f>IFERROR(IF(ISNUMBER('Score — Comp 3'!E23),'Score — Comp 3'!E23,""),"")</f>
        <v>42</v>
      </c>
    </row>
    <row r="228" spans="1:8">
      <c r="A228" s="28">
        <f>'Snapshot Setup'!$B$4</f>
        <v>46174</v>
      </c>
      <c r="B228" s="26" t="str">
        <f>IF('Snapshot Setup'!B9="","",'Snapshot Setup'!B9)</f>
        <v>Seventh Generation</v>
      </c>
      <c r="C228" s="26" t="b">
        <v>0</v>
      </c>
      <c r="D228" s="26" t="s">
        <v>191</v>
      </c>
      <c r="E228" s="26" t="s">
        <v>297</v>
      </c>
      <c r="F228" s="26" t="s">
        <v>171</v>
      </c>
      <c r="G228" s="26" t="s">
        <v>194</v>
      </c>
      <c r="H228" s="15">
        <f>IFERROR(IF(ISNUMBER('Score — Comp 3'!E24),'Score — Comp 3'!E24,""),"")</f>
        <v>60</v>
      </c>
    </row>
    <row r="229" spans="1:8">
      <c r="A229" s="28">
        <f>'Snapshot Setup'!$B$4</f>
        <v>46174</v>
      </c>
      <c r="B229" s="26" t="str">
        <f>IF('Snapshot Setup'!B9="","",'Snapshot Setup'!B9)</f>
        <v>Seventh Generation</v>
      </c>
      <c r="C229" s="26" t="b">
        <v>0</v>
      </c>
      <c r="D229" s="26" t="s">
        <v>191</v>
      </c>
      <c r="E229" s="26" t="s">
        <v>302</v>
      </c>
      <c r="F229" s="26" t="s">
        <v>171</v>
      </c>
      <c r="G229" s="26" t="s">
        <v>194</v>
      </c>
      <c r="H229" s="15">
        <f>IFERROR(IF(ISNUMBER('Score — Comp 3'!E25),'Score — Comp 3'!E25,""),"")</f>
        <v>50</v>
      </c>
    </row>
    <row r="230" spans="1:8">
      <c r="A230" s="28">
        <f>'Snapshot Setup'!$B$4</f>
        <v>46174</v>
      </c>
      <c r="B230" s="26" t="str">
        <f>IF('Snapshot Setup'!B9="","",'Snapshot Setup'!B9)</f>
        <v>Seventh Generation</v>
      </c>
      <c r="C230" s="26" t="b">
        <v>0</v>
      </c>
      <c r="D230" s="26" t="s">
        <v>191</v>
      </c>
      <c r="E230" s="26" t="s">
        <v>307</v>
      </c>
      <c r="F230" s="26" t="s">
        <v>173</v>
      </c>
      <c r="G230" s="26" t="s">
        <v>241</v>
      </c>
      <c r="H230" s="15">
        <f>IFERROR(IF(ISNUMBER('Score — Comp 3'!E26),'Score — Comp 3'!E26,""),"")</f>
        <v>58</v>
      </c>
    </row>
    <row r="231" spans="1:8">
      <c r="A231" s="28">
        <f>'Snapshot Setup'!$B$4</f>
        <v>46174</v>
      </c>
      <c r="B231" s="26" t="str">
        <f>IF('Snapshot Setup'!B9="","",'Snapshot Setup'!B9)</f>
        <v>Seventh Generation</v>
      </c>
      <c r="C231" s="26" t="b">
        <v>0</v>
      </c>
      <c r="D231" s="26" t="s">
        <v>191</v>
      </c>
      <c r="E231" s="26" t="s">
        <v>312</v>
      </c>
      <c r="F231" s="26" t="s">
        <v>170</v>
      </c>
      <c r="G231" s="26" t="s">
        <v>313</v>
      </c>
      <c r="H231" s="15">
        <f>IFERROR(IF(ISNUMBER('Score — Comp 3'!E27),'Score — Comp 3'!E27,""),"")</f>
        <v>58</v>
      </c>
    </row>
    <row r="232" spans="1:8">
      <c r="A232" s="28">
        <f>'Snapshot Setup'!$B$4</f>
        <v>46174</v>
      </c>
      <c r="B232" s="26" t="str">
        <f>IF('Snapshot Setup'!B9="","",'Snapshot Setup'!B9)</f>
        <v>Seventh Generation</v>
      </c>
      <c r="C232" s="26" t="b">
        <v>0</v>
      </c>
      <c r="D232" s="26" t="s">
        <v>191</v>
      </c>
      <c r="E232" s="26" t="s">
        <v>318</v>
      </c>
      <c r="F232" s="26" t="s">
        <v>171</v>
      </c>
      <c r="G232" s="26" t="s">
        <v>194</v>
      </c>
      <c r="H232" s="15">
        <f>IFERROR(IF(ISNUMBER('Score — Comp 3'!E28),'Score — Comp 3'!E28,""),"")</f>
        <v>34</v>
      </c>
    </row>
    <row r="233" spans="1:8">
      <c r="A233" s="28">
        <f>'Snapshot Setup'!$B$4</f>
        <v>46174</v>
      </c>
      <c r="B233" s="26" t="str">
        <f>IF('Snapshot Setup'!B9="","",'Snapshot Setup'!B9)</f>
        <v>Seventh Generation</v>
      </c>
      <c r="C233" s="26" t="b">
        <v>0</v>
      </c>
      <c r="D233" s="26" t="s">
        <v>323</v>
      </c>
      <c r="E233" s="26" t="s">
        <v>324</v>
      </c>
      <c r="F233" s="26" t="s">
        <v>172</v>
      </c>
      <c r="G233" s="26" t="s">
        <v>325</v>
      </c>
      <c r="H233" s="15">
        <f>IFERROR(IF(ISNUMBER('Score — Comp 3'!E29),'Score — Comp 3'!E29,""),"")</f>
        <v>70</v>
      </c>
    </row>
    <row r="234" spans="1:8">
      <c r="A234" s="28">
        <f>'Snapshot Setup'!$B$4</f>
        <v>46174</v>
      </c>
      <c r="B234" s="26" t="str">
        <f>IF('Snapshot Setup'!B9="","",'Snapshot Setup'!B9)</f>
        <v>Seventh Generation</v>
      </c>
      <c r="C234" s="26" t="b">
        <v>0</v>
      </c>
      <c r="D234" s="26" t="s">
        <v>323</v>
      </c>
      <c r="E234" s="26" t="s">
        <v>329</v>
      </c>
      <c r="F234" s="26" t="s">
        <v>171</v>
      </c>
      <c r="G234" s="26" t="s">
        <v>330</v>
      </c>
      <c r="H234" s="15">
        <f>IFERROR(IF(ISNUMBER('Score — Comp 3'!E30),'Score — Comp 3'!E30,""),"")</f>
        <v>68</v>
      </c>
    </row>
    <row r="235" spans="1:8">
      <c r="A235" s="28">
        <f>'Snapshot Setup'!$B$4</f>
        <v>46174</v>
      </c>
      <c r="B235" s="26" t="str">
        <f>IF('Snapshot Setup'!B9="","",'Snapshot Setup'!B9)</f>
        <v>Seventh Generation</v>
      </c>
      <c r="C235" s="26" t="b">
        <v>0</v>
      </c>
      <c r="D235" s="26" t="s">
        <v>323</v>
      </c>
      <c r="E235" s="26" t="s">
        <v>333</v>
      </c>
      <c r="F235" s="26" t="s">
        <v>172</v>
      </c>
      <c r="G235" s="26" t="s">
        <v>334</v>
      </c>
      <c r="H235" s="15">
        <f>IFERROR(IF(ISNUMBER('Score — Comp 3'!E31),'Score — Comp 3'!E31,""),"")</f>
        <v>70</v>
      </c>
    </row>
    <row r="236" spans="1:8">
      <c r="A236" s="28">
        <f>'Snapshot Setup'!$B$4</f>
        <v>46174</v>
      </c>
      <c r="B236" s="26" t="str">
        <f>IF('Snapshot Setup'!B9="","",'Snapshot Setup'!B9)</f>
        <v>Seventh Generation</v>
      </c>
      <c r="C236" s="26" t="b">
        <v>0</v>
      </c>
      <c r="D236" s="26" t="s">
        <v>323</v>
      </c>
      <c r="E236" s="26" t="s">
        <v>339</v>
      </c>
      <c r="F236" s="26" t="s">
        <v>172</v>
      </c>
      <c r="G236" s="26" t="s">
        <v>325</v>
      </c>
      <c r="H236" s="15" t="str">
        <f>IFERROR(IF(ISNUMBER('Score — Comp 3'!E32),'Score — Comp 3'!E32,""),"")</f>
        <v/>
      </c>
    </row>
    <row r="237" spans="1:8">
      <c r="A237" s="28">
        <f>'Snapshot Setup'!$B$4</f>
        <v>46174</v>
      </c>
      <c r="B237" s="26" t="str">
        <f>IF('Snapshot Setup'!B9="","",'Snapshot Setup'!B9)</f>
        <v>Seventh Generation</v>
      </c>
      <c r="C237" s="26" t="b">
        <v>0</v>
      </c>
      <c r="D237" s="26" t="s">
        <v>323</v>
      </c>
      <c r="E237" s="26" t="s">
        <v>343</v>
      </c>
      <c r="F237" s="26" t="s">
        <v>171</v>
      </c>
      <c r="G237" s="26" t="s">
        <v>330</v>
      </c>
      <c r="H237" s="15">
        <f>IFERROR(IF(ISNUMBER('Score — Comp 3'!E33),'Score — Comp 3'!E33,""),"")</f>
        <v>66</v>
      </c>
    </row>
    <row r="238" spans="1:8">
      <c r="A238" s="28">
        <f>'Snapshot Setup'!$B$4</f>
        <v>46174</v>
      </c>
      <c r="B238" s="26" t="str">
        <f>IF('Snapshot Setup'!B9="","",'Snapshot Setup'!B9)</f>
        <v>Seventh Generation</v>
      </c>
      <c r="C238" s="26" t="b">
        <v>0</v>
      </c>
      <c r="D238" s="26" t="s">
        <v>323</v>
      </c>
      <c r="E238" s="26" t="s">
        <v>347</v>
      </c>
      <c r="F238" s="26" t="s">
        <v>170</v>
      </c>
      <c r="G238" s="26" t="s">
        <v>284</v>
      </c>
      <c r="H238" s="15">
        <f>IFERROR(IF(ISNUMBER('Score — Comp 3'!E34),'Score — Comp 3'!E34,""),"")</f>
        <v>74</v>
      </c>
    </row>
    <row r="239" spans="1:8">
      <c r="A239" s="28">
        <f>'Snapshot Setup'!$B$4</f>
        <v>46174</v>
      </c>
      <c r="B239" s="26" t="str">
        <f>IF('Snapshot Setup'!B9="","",'Snapshot Setup'!B9)</f>
        <v>Seventh Generation</v>
      </c>
      <c r="C239" s="26" t="b">
        <v>0</v>
      </c>
      <c r="D239" s="26" t="s">
        <v>323</v>
      </c>
      <c r="E239" s="26" t="s">
        <v>352</v>
      </c>
      <c r="F239" s="26" t="s">
        <v>170</v>
      </c>
      <c r="G239" s="26" t="s">
        <v>353</v>
      </c>
      <c r="H239" s="15">
        <f>IFERROR(IF(ISNUMBER('Score — Comp 3'!E35),'Score — Comp 3'!E35,""),"")</f>
        <v>70</v>
      </c>
    </row>
    <row r="240" spans="1:8">
      <c r="A240" s="28">
        <f>'Snapshot Setup'!$B$4</f>
        <v>46174</v>
      </c>
      <c r="B240" s="26" t="str">
        <f>IF('Snapshot Setup'!B9="","",'Snapshot Setup'!B9)</f>
        <v>Seventh Generation</v>
      </c>
      <c r="C240" s="26" t="b">
        <v>0</v>
      </c>
      <c r="D240" s="26" t="s">
        <v>323</v>
      </c>
      <c r="E240" s="26" t="s">
        <v>358</v>
      </c>
      <c r="F240" s="26" t="s">
        <v>170</v>
      </c>
      <c r="G240" s="26" t="s">
        <v>284</v>
      </c>
      <c r="H240" s="15">
        <f>IFERROR(IF(ISNUMBER('Score — Comp 3'!E36),'Score — Comp 3'!E36,""),"")</f>
        <v>68</v>
      </c>
    </row>
    <row r="241" spans="1:8">
      <c r="A241" s="28">
        <f>'Snapshot Setup'!$B$4</f>
        <v>46174</v>
      </c>
      <c r="B241" s="26" t="str">
        <f>IF('Snapshot Setup'!B9="","",'Snapshot Setup'!B9)</f>
        <v>Seventh Generation</v>
      </c>
      <c r="C241" s="26" t="b">
        <v>0</v>
      </c>
      <c r="D241" s="26" t="s">
        <v>323</v>
      </c>
      <c r="E241" s="26" t="s">
        <v>363</v>
      </c>
      <c r="F241" s="26" t="s">
        <v>170</v>
      </c>
      <c r="G241" s="26" t="s">
        <v>364</v>
      </c>
      <c r="H241" s="15">
        <f>IFERROR(IF(ISNUMBER('Score — Comp 3'!E37),'Score — Comp 3'!E37,""),"")</f>
        <v>70</v>
      </c>
    </row>
    <row r="242" spans="1:8">
      <c r="A242" s="28">
        <f>'Snapshot Setup'!$B$4</f>
        <v>46174</v>
      </c>
      <c r="B242" s="26" t="str">
        <f>IF('Snapshot Setup'!B9="","",'Snapshot Setup'!B9)</f>
        <v>Seventh Generation</v>
      </c>
      <c r="C242" s="26" t="b">
        <v>0</v>
      </c>
      <c r="D242" s="26" t="s">
        <v>323</v>
      </c>
      <c r="E242" s="26" t="s">
        <v>369</v>
      </c>
      <c r="F242" s="26" t="s">
        <v>170</v>
      </c>
      <c r="G242" s="26" t="s">
        <v>313</v>
      </c>
      <c r="H242" s="15">
        <f>IFERROR(IF(ISNUMBER('Score — Comp 3'!E38),'Score — Comp 3'!E38,""),"")</f>
        <v>72</v>
      </c>
    </row>
    <row r="243" spans="1:8">
      <c r="A243" s="28">
        <f>'Snapshot Setup'!$B$4</f>
        <v>46174</v>
      </c>
      <c r="B243" s="26" t="str">
        <f>IF('Snapshot Setup'!B9="","",'Snapshot Setup'!B9)</f>
        <v>Seventh Generation</v>
      </c>
      <c r="C243" s="26" t="b">
        <v>0</v>
      </c>
      <c r="D243" s="26" t="s">
        <v>323</v>
      </c>
      <c r="E243" s="26" t="s">
        <v>372</v>
      </c>
      <c r="F243" s="26" t="s">
        <v>170</v>
      </c>
      <c r="G243" s="26" t="s">
        <v>284</v>
      </c>
      <c r="H243" s="15">
        <f>IFERROR(IF(ISNUMBER('Score — Comp 3'!E39),'Score — Comp 3'!E39,""),"")</f>
        <v>70</v>
      </c>
    </row>
    <row r="244" spans="1:8">
      <c r="A244" s="28">
        <f>'Snapshot Setup'!$B$4</f>
        <v>46174</v>
      </c>
      <c r="B244" s="26" t="str">
        <f>IF('Snapshot Setup'!B9="","",'Snapshot Setup'!B9)</f>
        <v>Seventh Generation</v>
      </c>
      <c r="C244" s="26" t="b">
        <v>0</v>
      </c>
      <c r="D244" s="26" t="s">
        <v>323</v>
      </c>
      <c r="E244" s="26" t="s">
        <v>377</v>
      </c>
      <c r="F244" s="26" t="s">
        <v>170</v>
      </c>
      <c r="G244" s="26" t="s">
        <v>284</v>
      </c>
      <c r="H244" s="15">
        <f>IFERROR(IF(ISNUMBER('Score — Comp 3'!E40),'Score — Comp 3'!E40,""),"")</f>
        <v>70</v>
      </c>
    </row>
    <row r="245" spans="1:8">
      <c r="A245" s="28">
        <f>'Snapshot Setup'!$B$4</f>
        <v>46174</v>
      </c>
      <c r="B245" s="26" t="str">
        <f>IF('Snapshot Setup'!B9="","",'Snapshot Setup'!B9)</f>
        <v>Seventh Generation</v>
      </c>
      <c r="C245" s="26" t="b">
        <v>0</v>
      </c>
      <c r="D245" s="26" t="s">
        <v>323</v>
      </c>
      <c r="E245" s="26" t="s">
        <v>381</v>
      </c>
      <c r="F245" s="26" t="s">
        <v>170</v>
      </c>
      <c r="G245" s="26" t="s">
        <v>364</v>
      </c>
      <c r="H245" s="15">
        <f>IFERROR(IF(ISNUMBER('Score — Comp 3'!E41),'Score — Comp 3'!E41,""),"")</f>
        <v>70</v>
      </c>
    </row>
    <row r="246" spans="1:8">
      <c r="A246" s="28">
        <f>'Snapshot Setup'!$B$4</f>
        <v>46174</v>
      </c>
      <c r="B246" s="26" t="str">
        <f>IF('Snapshot Setup'!B9="","",'Snapshot Setup'!B9)</f>
        <v>Seventh Generation</v>
      </c>
      <c r="C246" s="26" t="b">
        <v>0</v>
      </c>
      <c r="D246" s="26" t="s">
        <v>323</v>
      </c>
      <c r="E246" s="26" t="s">
        <v>384</v>
      </c>
      <c r="F246" s="26" t="s">
        <v>170</v>
      </c>
      <c r="G246" s="26" t="s">
        <v>313</v>
      </c>
      <c r="H246" s="15">
        <f>IFERROR(IF(ISNUMBER('Score — Comp 3'!E42),'Score — Comp 3'!E42,""),"")</f>
        <v>68</v>
      </c>
    </row>
    <row r="247" spans="1:8">
      <c r="A247" s="28">
        <f>'Snapshot Setup'!$B$4</f>
        <v>46174</v>
      </c>
      <c r="B247" s="26" t="str">
        <f>IF('Snapshot Setup'!B9="","",'Snapshot Setup'!B9)</f>
        <v>Seventh Generation</v>
      </c>
      <c r="C247" s="26" t="b">
        <v>0</v>
      </c>
      <c r="D247" s="26" t="s">
        <v>323</v>
      </c>
      <c r="E247" s="26" t="s">
        <v>388</v>
      </c>
      <c r="F247" s="26" t="s">
        <v>170</v>
      </c>
      <c r="G247" s="26" t="s">
        <v>389</v>
      </c>
      <c r="H247" s="15">
        <f>IFERROR(IF(ISNUMBER('Score — Comp 3'!E43),'Score — Comp 3'!E43,""),"")</f>
        <v>68</v>
      </c>
    </row>
    <row r="248" spans="1:8">
      <c r="A248" s="28">
        <f>'Snapshot Setup'!$B$4</f>
        <v>46174</v>
      </c>
      <c r="B248" s="26" t="str">
        <f>IF('Snapshot Setup'!B9="","",'Snapshot Setup'!B9)</f>
        <v>Seventh Generation</v>
      </c>
      <c r="C248" s="26" t="b">
        <v>0</v>
      </c>
      <c r="D248" s="26" t="s">
        <v>323</v>
      </c>
      <c r="E248" s="26" t="s">
        <v>393</v>
      </c>
      <c r="F248" s="26" t="s">
        <v>171</v>
      </c>
      <c r="G248" s="26" t="s">
        <v>251</v>
      </c>
      <c r="H248" s="15">
        <f>IFERROR(IF(ISNUMBER('Score — Comp 3'!E44),'Score — Comp 3'!E44,""),"")</f>
        <v>62</v>
      </c>
    </row>
    <row r="249" spans="1:8">
      <c r="A249" s="28">
        <f>'Snapshot Setup'!$B$4</f>
        <v>46174</v>
      </c>
      <c r="B249" s="26" t="str">
        <f>IF('Snapshot Setup'!B9="","",'Snapshot Setup'!B9)</f>
        <v>Seventh Generation</v>
      </c>
      <c r="C249" s="26" t="b">
        <v>0</v>
      </c>
      <c r="D249" s="26" t="s">
        <v>323</v>
      </c>
      <c r="E249" s="26" t="s">
        <v>398</v>
      </c>
      <c r="F249" s="26" t="s">
        <v>170</v>
      </c>
      <c r="G249" s="26" t="s">
        <v>364</v>
      </c>
      <c r="H249" s="15">
        <f>IFERROR(IF(ISNUMBER('Score — Comp 3'!E45),'Score — Comp 3'!E45,""),"")</f>
        <v>70</v>
      </c>
    </row>
    <row r="250" spans="1:8">
      <c r="A250" s="28">
        <f>'Snapshot Setup'!$B$4</f>
        <v>46174</v>
      </c>
      <c r="B250" s="26" t="str">
        <f>IF('Snapshot Setup'!B9="","",'Snapshot Setup'!B9)</f>
        <v>Seventh Generation</v>
      </c>
      <c r="C250" s="26" t="b">
        <v>0</v>
      </c>
      <c r="D250" s="26" t="s">
        <v>323</v>
      </c>
      <c r="E250" s="26" t="s">
        <v>403</v>
      </c>
      <c r="F250" s="26" t="s">
        <v>172</v>
      </c>
      <c r="G250" s="26" t="s">
        <v>325</v>
      </c>
      <c r="H250" s="15">
        <f>IFERROR(IF(ISNUMBER('Score — Comp 3'!E46),'Score — Comp 3'!E46,""),"")</f>
        <v>70</v>
      </c>
    </row>
    <row r="251" spans="1:8">
      <c r="A251" s="28">
        <f>'Snapshot Setup'!$B$4</f>
        <v>46174</v>
      </c>
      <c r="B251" s="26" t="str">
        <f>IF('Snapshot Setup'!B9="","",'Snapshot Setup'!B9)</f>
        <v>Seventh Generation</v>
      </c>
      <c r="C251" s="26" t="b">
        <v>0</v>
      </c>
      <c r="D251" s="26" t="s">
        <v>323</v>
      </c>
      <c r="E251" s="26" t="s">
        <v>407</v>
      </c>
      <c r="F251" s="26" t="s">
        <v>170</v>
      </c>
      <c r="G251" s="26" t="s">
        <v>389</v>
      </c>
      <c r="H251" s="15" t="str">
        <f>IFERROR(IF(ISNUMBER('Score — Comp 3'!E47),'Score — Comp 3'!E47,""),"")</f>
        <v/>
      </c>
    </row>
    <row r="252" spans="1:8">
      <c r="A252" s="28">
        <f>'Snapshot Setup'!$B$4</f>
        <v>46174</v>
      </c>
      <c r="B252" s="26" t="str">
        <f>IF('Snapshot Setup'!B9="","",'Snapshot Setup'!B9)</f>
        <v>Seventh Generation</v>
      </c>
      <c r="C252" s="26" t="b">
        <v>0</v>
      </c>
      <c r="D252" s="26" t="s">
        <v>323</v>
      </c>
      <c r="E252" s="26" t="s">
        <v>411</v>
      </c>
      <c r="F252" s="26" t="s">
        <v>170</v>
      </c>
      <c r="G252" s="26" t="s">
        <v>389</v>
      </c>
      <c r="H252" s="15">
        <f>IFERROR(IF(ISNUMBER('Score — Comp 3'!E48),'Score — Comp 3'!E48,""),"")</f>
        <v>70</v>
      </c>
    </row>
    <row r="253" spans="1:8">
      <c r="A253" s="28">
        <f>'Snapshot Setup'!$B$4</f>
        <v>46174</v>
      </c>
      <c r="B253" s="26" t="str">
        <f>IF('Snapshot Setup'!B9="","",'Snapshot Setup'!B9)</f>
        <v>Seventh Generation</v>
      </c>
      <c r="C253" s="26" t="b">
        <v>0</v>
      </c>
      <c r="D253" s="26" t="s">
        <v>416</v>
      </c>
      <c r="E253" s="26" t="s">
        <v>417</v>
      </c>
      <c r="F253" s="26" t="s">
        <v>173</v>
      </c>
      <c r="G253" s="26" t="s">
        <v>224</v>
      </c>
      <c r="H253" s="15">
        <f>IFERROR(IF(ISNUMBER('Score — Comp 3'!E49),'Score — Comp 3'!E49,""),"")</f>
        <v>66</v>
      </c>
    </row>
    <row r="254" spans="1:8">
      <c r="A254" s="28">
        <f>'Snapshot Setup'!$B$4</f>
        <v>46174</v>
      </c>
      <c r="B254" s="26" t="str">
        <f>IF('Snapshot Setup'!B9="","",'Snapshot Setup'!B9)</f>
        <v>Seventh Generation</v>
      </c>
      <c r="C254" s="26" t="b">
        <v>0</v>
      </c>
      <c r="D254" s="26" t="s">
        <v>416</v>
      </c>
      <c r="E254" s="26" t="s">
        <v>422</v>
      </c>
      <c r="F254" s="26" t="s">
        <v>263</v>
      </c>
      <c r="G254" s="26" t="s">
        <v>263</v>
      </c>
      <c r="H254" s="15" t="str">
        <f>IFERROR(IF(ISNUMBER('Score — Comp 3'!E50),'Score — Comp 3'!E50,""),"")</f>
        <v/>
      </c>
    </row>
    <row r="255" spans="1:8">
      <c r="A255" s="28">
        <f>'Snapshot Setup'!$B$4</f>
        <v>46174</v>
      </c>
      <c r="B255" s="26" t="str">
        <f>IF('Snapshot Setup'!B9="","",'Snapshot Setup'!B9)</f>
        <v>Seventh Generation</v>
      </c>
      <c r="C255" s="26" t="b">
        <v>0</v>
      </c>
      <c r="D255" s="26" t="s">
        <v>416</v>
      </c>
      <c r="E255" s="26" t="s">
        <v>426</v>
      </c>
      <c r="F255" s="26" t="s">
        <v>263</v>
      </c>
      <c r="G255" s="26" t="s">
        <v>263</v>
      </c>
      <c r="H255" s="15" t="str">
        <f>IFERROR(IF(ISNUMBER('Score — Comp 3'!E51),'Score — Comp 3'!E51,""),"")</f>
        <v/>
      </c>
    </row>
    <row r="256" spans="1:8">
      <c r="A256" s="28">
        <f>'Snapshot Setup'!$B$4</f>
        <v>46174</v>
      </c>
      <c r="B256" s="26" t="str">
        <f>IF('Snapshot Setup'!B9="","",'Snapshot Setup'!B9)</f>
        <v>Seventh Generation</v>
      </c>
      <c r="C256" s="26" t="b">
        <v>0</v>
      </c>
      <c r="D256" s="26" t="s">
        <v>416</v>
      </c>
      <c r="E256" s="26" t="s">
        <v>429</v>
      </c>
      <c r="F256" s="26" t="s">
        <v>263</v>
      </c>
      <c r="G256" s="26" t="s">
        <v>263</v>
      </c>
      <c r="H256" s="15" t="str">
        <f>IFERROR(IF(ISNUMBER('Score — Comp 3'!E52),'Score — Comp 3'!E52,""),"")</f>
        <v/>
      </c>
    </row>
    <row r="257" spans="1:8">
      <c r="A257" s="28">
        <f>'Snapshot Setup'!$B$4</f>
        <v>46174</v>
      </c>
      <c r="B257" s="26" t="str">
        <f>IF('Snapshot Setup'!B9="","",'Snapshot Setup'!B9)</f>
        <v>Seventh Generation</v>
      </c>
      <c r="C257" s="26" t="b">
        <v>0</v>
      </c>
      <c r="D257" s="26" t="s">
        <v>416</v>
      </c>
      <c r="E257" s="26" t="s">
        <v>432</v>
      </c>
      <c r="F257" s="26" t="s">
        <v>263</v>
      </c>
      <c r="G257" s="26" t="s">
        <v>263</v>
      </c>
      <c r="H257" s="15" t="str">
        <f>IFERROR(IF(ISNUMBER('Score — Comp 3'!E53),'Score — Comp 3'!E53,""),"")</f>
        <v/>
      </c>
    </row>
    <row r="258" spans="1:8">
      <c r="A258" s="28">
        <f>'Snapshot Setup'!$B$4</f>
        <v>46174</v>
      </c>
      <c r="B258" s="26" t="str">
        <f>IF('Snapshot Setup'!B9="","",'Snapshot Setup'!B9)</f>
        <v>Seventh Generation</v>
      </c>
      <c r="C258" s="26" t="b">
        <v>0</v>
      </c>
      <c r="D258" s="26" t="s">
        <v>416</v>
      </c>
      <c r="E258" s="26" t="s">
        <v>436</v>
      </c>
      <c r="F258" s="26" t="s">
        <v>263</v>
      </c>
      <c r="G258" s="26" t="s">
        <v>263</v>
      </c>
      <c r="H258" s="15" t="str">
        <f>IFERROR(IF(ISNUMBER('Score — Comp 3'!E54),'Score — Comp 3'!E54,""),"")</f>
        <v/>
      </c>
    </row>
    <row r="259" spans="1:8">
      <c r="A259" s="28">
        <f>'Snapshot Setup'!$B$4</f>
        <v>46174</v>
      </c>
      <c r="B259" s="26" t="str">
        <f>IF('Snapshot Setup'!B9="","",'Snapshot Setup'!B9)</f>
        <v>Seventh Generation</v>
      </c>
      <c r="C259" s="26" t="b">
        <v>0</v>
      </c>
      <c r="D259" s="26" t="s">
        <v>416</v>
      </c>
      <c r="E259" s="26" t="s">
        <v>439</v>
      </c>
      <c r="F259" s="26" t="s">
        <v>263</v>
      </c>
      <c r="G259" s="26" t="s">
        <v>263</v>
      </c>
      <c r="H259" s="15" t="str">
        <f>IFERROR(IF(ISNUMBER('Score — Comp 3'!E55),'Score — Comp 3'!E55,""),"")</f>
        <v/>
      </c>
    </row>
    <row r="260" spans="1:8">
      <c r="A260" s="28">
        <f>'Snapshot Setup'!$B$4</f>
        <v>46174</v>
      </c>
      <c r="B260" s="26" t="str">
        <f>IF('Snapshot Setup'!B9="","",'Snapshot Setup'!B9)</f>
        <v>Seventh Generation</v>
      </c>
      <c r="C260" s="26" t="b">
        <v>0</v>
      </c>
      <c r="D260" s="26" t="s">
        <v>416</v>
      </c>
      <c r="E260" s="26" t="s">
        <v>442</v>
      </c>
      <c r="F260" s="26" t="s">
        <v>263</v>
      </c>
      <c r="G260" s="26" t="s">
        <v>263</v>
      </c>
      <c r="H260" s="15" t="str">
        <f>IFERROR(IF(ISNUMBER('Score — Comp 3'!E56),'Score — Comp 3'!E56,""),"")</f>
        <v/>
      </c>
    </row>
    <row r="261" spans="1:8">
      <c r="A261" s="28">
        <f>'Snapshot Setup'!$B$4</f>
        <v>46174</v>
      </c>
      <c r="B261" s="26" t="str">
        <f>IF('Snapshot Setup'!B9="","",'Snapshot Setup'!B9)</f>
        <v>Seventh Generation</v>
      </c>
      <c r="C261" s="26" t="b">
        <v>0</v>
      </c>
      <c r="D261" s="26" t="s">
        <v>416</v>
      </c>
      <c r="E261" s="26" t="s">
        <v>445</v>
      </c>
      <c r="F261" s="26" t="s">
        <v>263</v>
      </c>
      <c r="G261" s="26" t="s">
        <v>263</v>
      </c>
      <c r="H261" s="15" t="str">
        <f>IFERROR(IF(ISNUMBER('Score — Comp 3'!E57),'Score — Comp 3'!E57,""),"")</f>
        <v/>
      </c>
    </row>
    <row r="262" spans="1:8">
      <c r="A262" s="28">
        <f>'Snapshot Setup'!$B$4</f>
        <v>46174</v>
      </c>
      <c r="B262" s="26" t="str">
        <f>IF('Snapshot Setup'!B9="","",'Snapshot Setup'!B9)</f>
        <v>Seventh Generation</v>
      </c>
      <c r="C262" s="26" t="b">
        <v>0</v>
      </c>
      <c r="D262" s="26" t="s">
        <v>416</v>
      </c>
      <c r="E262" s="26" t="s">
        <v>448</v>
      </c>
      <c r="F262" s="26" t="s">
        <v>173</v>
      </c>
      <c r="G262" s="26" t="s">
        <v>449</v>
      </c>
      <c r="H262" s="15" t="str">
        <f>IFERROR(IF(ISNUMBER('Score — Comp 3'!E58),'Score — Comp 3'!E58,""),"")</f>
        <v/>
      </c>
    </row>
    <row r="263" spans="1:8">
      <c r="A263" s="28">
        <f>'Snapshot Setup'!$B$4</f>
        <v>46174</v>
      </c>
      <c r="B263" s="26" t="str">
        <f>IF('Snapshot Setup'!B9="","",'Snapshot Setup'!B9)</f>
        <v>Seventh Generation</v>
      </c>
      <c r="C263" s="26" t="b">
        <v>0</v>
      </c>
      <c r="D263" s="26" t="s">
        <v>416</v>
      </c>
      <c r="E263" s="26" t="s">
        <v>452</v>
      </c>
      <c r="F263" s="26" t="s">
        <v>173</v>
      </c>
      <c r="G263" s="26" t="s">
        <v>449</v>
      </c>
      <c r="H263" s="15">
        <f>IFERROR(IF(ISNUMBER('Score — Comp 3'!E59),'Score — Comp 3'!E59,""),"")</f>
        <v>58</v>
      </c>
    </row>
    <row r="264" spans="1:8">
      <c r="A264" s="28">
        <f>'Snapshot Setup'!$B$4</f>
        <v>46174</v>
      </c>
      <c r="B264" s="26" t="str">
        <f>IF('Snapshot Setup'!B9="","",'Snapshot Setup'!B9)</f>
        <v>Seventh Generation</v>
      </c>
      <c r="C264" s="26" t="b">
        <v>0</v>
      </c>
      <c r="D264" s="26" t="s">
        <v>457</v>
      </c>
      <c r="E264" s="26" t="s">
        <v>458</v>
      </c>
      <c r="F264" s="26" t="s">
        <v>170</v>
      </c>
      <c r="G264" s="26" t="s">
        <v>353</v>
      </c>
      <c r="H264" s="15">
        <f>IFERROR(IF(ISNUMBER('Score — Comp 3'!E60),'Score — Comp 3'!E60,""),"")</f>
        <v>66</v>
      </c>
    </row>
    <row r="265" spans="1:8">
      <c r="A265" s="28">
        <f>'Snapshot Setup'!$B$4</f>
        <v>46174</v>
      </c>
      <c r="B265" s="26" t="str">
        <f>IF('Snapshot Setup'!B9="","",'Snapshot Setup'!B9)</f>
        <v>Seventh Generation</v>
      </c>
      <c r="C265" s="26" t="b">
        <v>0</v>
      </c>
      <c r="D265" s="26" t="s">
        <v>457</v>
      </c>
      <c r="E265" s="26" t="s">
        <v>462</v>
      </c>
      <c r="F265" s="26" t="s">
        <v>263</v>
      </c>
      <c r="G265" s="26" t="s">
        <v>263</v>
      </c>
      <c r="H265" s="15" t="str">
        <f>IFERROR(IF(ISNUMBER('Score — Comp 3'!E61),'Score — Comp 3'!E61,""),"")</f>
        <v/>
      </c>
    </row>
    <row r="266" spans="1:8">
      <c r="A266" s="28">
        <f>'Snapshot Setup'!$B$4</f>
        <v>46174</v>
      </c>
      <c r="B266" s="26" t="str">
        <f>IF('Snapshot Setup'!B9="","",'Snapshot Setup'!B9)</f>
        <v>Seventh Generation</v>
      </c>
      <c r="C266" s="26" t="b">
        <v>0</v>
      </c>
      <c r="D266" s="26" t="s">
        <v>457</v>
      </c>
      <c r="E266" s="26" t="s">
        <v>465</v>
      </c>
      <c r="F266" s="26" t="s">
        <v>173</v>
      </c>
      <c r="G266" s="26" t="s">
        <v>278</v>
      </c>
      <c r="H266" s="15">
        <f>IFERROR(IF(ISNUMBER('Score — Comp 3'!E62),'Score — Comp 3'!E62,""),"")</f>
        <v>30</v>
      </c>
    </row>
    <row r="267" spans="1:8">
      <c r="A267" s="28">
        <f>'Snapshot Setup'!$B$4</f>
        <v>46174</v>
      </c>
      <c r="B267" s="26" t="str">
        <f>IF('Snapshot Setup'!B9="","",'Snapshot Setup'!B9)</f>
        <v>Seventh Generation</v>
      </c>
      <c r="C267" s="26" t="b">
        <v>0</v>
      </c>
      <c r="D267" s="26" t="s">
        <v>457</v>
      </c>
      <c r="E267" s="26" t="s">
        <v>469</v>
      </c>
      <c r="F267" s="26" t="s">
        <v>173</v>
      </c>
      <c r="G267" s="26" t="s">
        <v>278</v>
      </c>
      <c r="H267" s="15">
        <f>IFERROR(IF(ISNUMBER('Score — Comp 3'!E63),'Score — Comp 3'!E63,""),"")</f>
        <v>32</v>
      </c>
    </row>
    <row r="268" spans="1:8">
      <c r="A268" s="28">
        <f>'Snapshot Setup'!$B$4</f>
        <v>46174</v>
      </c>
      <c r="B268" s="26" t="str">
        <f>IF('Snapshot Setup'!B9="","",'Snapshot Setup'!B9)</f>
        <v>Seventh Generation</v>
      </c>
      <c r="C268" s="26" t="b">
        <v>0</v>
      </c>
      <c r="D268" s="26" t="s">
        <v>457</v>
      </c>
      <c r="E268" s="26" t="s">
        <v>473</v>
      </c>
      <c r="F268" s="26" t="s">
        <v>172</v>
      </c>
      <c r="G268" s="26" t="s">
        <v>334</v>
      </c>
      <c r="H268" s="15">
        <f>IFERROR(IF(ISNUMBER('Score — Comp 3'!E64),'Score — Comp 3'!E64,""),"")</f>
        <v>34</v>
      </c>
    </row>
    <row r="269" spans="1:8">
      <c r="A269" s="28">
        <f>'Snapshot Setup'!$B$4</f>
        <v>46174</v>
      </c>
      <c r="B269" s="26" t="str">
        <f>IF('Snapshot Setup'!B9="","",'Snapshot Setup'!B9)</f>
        <v>Seventh Generation</v>
      </c>
      <c r="C269" s="26" t="b">
        <v>0</v>
      </c>
      <c r="D269" s="26" t="s">
        <v>457</v>
      </c>
      <c r="E269" s="26" t="s">
        <v>476</v>
      </c>
      <c r="F269" s="26" t="s">
        <v>172</v>
      </c>
      <c r="G269" s="26" t="s">
        <v>477</v>
      </c>
      <c r="H269" s="15">
        <f>IFERROR(IF(ISNUMBER('Score — Comp 3'!E65),'Score — Comp 3'!E65,""),"")</f>
        <v>22</v>
      </c>
    </row>
    <row r="270" spans="1:8">
      <c r="A270" s="28">
        <f>'Snapshot Setup'!$B$4</f>
        <v>46174</v>
      </c>
      <c r="B270" s="26" t="str">
        <f>IF('Snapshot Setup'!B9="","",'Snapshot Setup'!B9)</f>
        <v>Seventh Generation</v>
      </c>
      <c r="C270" s="26" t="b">
        <v>0</v>
      </c>
      <c r="D270" s="26" t="s">
        <v>457</v>
      </c>
      <c r="E270" s="26" t="s">
        <v>480</v>
      </c>
      <c r="F270" s="26" t="s">
        <v>173</v>
      </c>
      <c r="G270" s="26" t="s">
        <v>278</v>
      </c>
      <c r="H270" s="15">
        <f>IFERROR(IF(ISNUMBER('Score — Comp 3'!E66),'Score — Comp 3'!E66,""),"")</f>
        <v>28</v>
      </c>
    </row>
    <row r="271" spans="1:8">
      <c r="A271" s="28">
        <f>'Snapshot Setup'!$B$4</f>
        <v>46174</v>
      </c>
      <c r="B271" s="26" t="str">
        <f>IF('Snapshot Setup'!B9="","",'Snapshot Setup'!B9)</f>
        <v>Seventh Generation</v>
      </c>
      <c r="C271" s="26" t="b">
        <v>0</v>
      </c>
      <c r="D271" s="26" t="s">
        <v>457</v>
      </c>
      <c r="E271" s="26" t="s">
        <v>484</v>
      </c>
      <c r="F271" s="26" t="s">
        <v>173</v>
      </c>
      <c r="G271" s="26" t="s">
        <v>278</v>
      </c>
      <c r="H271" s="15">
        <f>IFERROR(IF(ISNUMBER('Score — Comp 3'!E67),'Score — Comp 3'!E67,""),"")</f>
        <v>30</v>
      </c>
    </row>
    <row r="272" spans="1:8">
      <c r="A272" s="28">
        <f>'Snapshot Setup'!$B$4</f>
        <v>46174</v>
      </c>
      <c r="B272" s="26" t="str">
        <f>IF('Snapshot Setup'!B9="","",'Snapshot Setup'!B9)</f>
        <v>Seventh Generation</v>
      </c>
      <c r="C272" s="26" t="b">
        <v>0</v>
      </c>
      <c r="D272" s="26" t="s">
        <v>457</v>
      </c>
      <c r="E272" s="26" t="s">
        <v>487</v>
      </c>
      <c r="F272" s="26" t="s">
        <v>173</v>
      </c>
      <c r="G272" s="26" t="s">
        <v>278</v>
      </c>
      <c r="H272" s="15">
        <f>IFERROR(IF(ISNUMBER('Score — Comp 3'!E68),'Score — Comp 3'!E68,""),"")</f>
        <v>0</v>
      </c>
    </row>
    <row r="273" spans="1:8">
      <c r="A273" s="28">
        <f>'Snapshot Setup'!$B$4</f>
        <v>46174</v>
      </c>
      <c r="B273" s="26" t="str">
        <f>IF('Snapshot Setup'!B9="","",'Snapshot Setup'!B9)</f>
        <v>Seventh Generation</v>
      </c>
      <c r="C273" s="26" t="b">
        <v>0</v>
      </c>
      <c r="D273" s="26" t="s">
        <v>492</v>
      </c>
      <c r="E273" s="26" t="s">
        <v>493</v>
      </c>
      <c r="F273" s="26" t="s">
        <v>171</v>
      </c>
      <c r="G273" s="26" t="s">
        <v>231</v>
      </c>
      <c r="H273" s="15">
        <f>IFERROR(IF(ISNUMBER('Score — Comp 3'!E69),'Score — Comp 3'!E69,""),"")</f>
        <v>66</v>
      </c>
    </row>
    <row r="274" spans="1:8">
      <c r="A274" s="28">
        <f>'Snapshot Setup'!$B$4</f>
        <v>46174</v>
      </c>
      <c r="B274" s="26" t="str">
        <f>IF('Snapshot Setup'!B9="","",'Snapshot Setup'!B9)</f>
        <v>Seventh Generation</v>
      </c>
      <c r="C274" s="26" t="b">
        <v>0</v>
      </c>
      <c r="D274" s="26" t="s">
        <v>492</v>
      </c>
      <c r="E274" s="26" t="s">
        <v>498</v>
      </c>
      <c r="F274" s="26" t="s">
        <v>170</v>
      </c>
      <c r="G274" s="26" t="s">
        <v>313</v>
      </c>
      <c r="H274" s="15">
        <f>IFERROR(IF(ISNUMBER('Score — Comp 3'!E70),'Score — Comp 3'!E70,""),"")</f>
        <v>70</v>
      </c>
    </row>
    <row r="275" spans="1:8">
      <c r="A275" s="28">
        <f>'Snapshot Setup'!$B$4</f>
        <v>46174</v>
      </c>
      <c r="B275" s="26" t="str">
        <f>IF('Snapshot Setup'!B9="","",'Snapshot Setup'!B9)</f>
        <v>Seventh Generation</v>
      </c>
      <c r="C275" s="26" t="b">
        <v>0</v>
      </c>
      <c r="D275" s="26" t="s">
        <v>492</v>
      </c>
      <c r="E275" s="26" t="s">
        <v>501</v>
      </c>
      <c r="F275" s="26" t="s">
        <v>170</v>
      </c>
      <c r="G275" s="26" t="s">
        <v>313</v>
      </c>
      <c r="H275" s="15">
        <f>IFERROR(IF(ISNUMBER('Score — Comp 3'!E71),'Score — Comp 3'!E71,""),"")</f>
        <v>62</v>
      </c>
    </row>
  </sheetData>
  <autoFilter ref="A3:H401" xr:uid="{00000000-0009-0000-0000-00000B000000}"/>
  <mergeCells count="2">
    <mergeCell ref="A2:H2"/>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7"/>
  <sheetViews>
    <sheetView workbookViewId="0">
      <selection sqref="A1:I1"/>
    </sheetView>
  </sheetViews>
  <sheetFormatPr defaultColWidth="8.85546875" defaultRowHeight="15"/>
  <cols>
    <col min="1" max="1" width="30" customWidth="1"/>
    <col min="2" max="2" width="32.85546875" customWidth="1"/>
    <col min="3" max="10" width="16" customWidth="1"/>
  </cols>
  <sheetData>
    <row r="1" spans="1:9" ht="27.95" customHeight="1">
      <c r="A1" s="80" t="s">
        <v>1070</v>
      </c>
      <c r="B1" s="81"/>
      <c r="C1" s="81"/>
      <c r="D1" s="81"/>
      <c r="E1" s="81"/>
      <c r="F1" s="81"/>
      <c r="G1" s="81"/>
      <c r="H1" s="81"/>
      <c r="I1" s="81"/>
    </row>
    <row r="3" spans="1:9">
      <c r="A3" s="10" t="s">
        <v>1071</v>
      </c>
      <c r="B3" s="31">
        <f>'Snapshot Setup'!B4</f>
        <v>46174</v>
      </c>
      <c r="D3" s="10" t="s">
        <v>1072</v>
      </c>
      <c r="E3" t="str">
        <f>'Snapshot Setup'!B5</f>
        <v>CPG/Household Brand</v>
      </c>
    </row>
    <row r="5" spans="1:9">
      <c r="A5" s="85" t="s">
        <v>1073</v>
      </c>
      <c r="B5" s="81"/>
      <c r="C5" s="81"/>
      <c r="D5" s="81"/>
    </row>
    <row r="6" spans="1:9">
      <c r="A6" s="9" t="s">
        <v>1074</v>
      </c>
      <c r="B6" s="9" t="s">
        <v>1061</v>
      </c>
      <c r="C6" s="9" t="s">
        <v>1075</v>
      </c>
      <c r="D6" s="9" t="s">
        <v>1076</v>
      </c>
    </row>
    <row r="7" spans="1:9">
      <c r="A7" s="23">
        <v>0</v>
      </c>
      <c r="B7" s="23" t="str">
        <f>'Computed — Composites'!A6</f>
        <v>Lysol</v>
      </c>
      <c r="C7" s="32">
        <f>'Computed — Composites'!B6</f>
        <v>50.527400000000007</v>
      </c>
      <c r="D7" s="33">
        <v>0</v>
      </c>
    </row>
    <row r="8" spans="1:9">
      <c r="A8" s="23">
        <v>1</v>
      </c>
      <c r="B8" s="23" t="str">
        <f>'Computed — Composites'!A7</f>
        <v>Clorox Portfolio (Clorox, Pine-Sol, Purell)</v>
      </c>
      <c r="C8" s="32">
        <f>'Computed — Composites'!B7</f>
        <v>62.9056</v>
      </c>
      <c r="D8" s="34">
        <f>IFERROR(C8-C7,"")</f>
        <v>12.378199999999993</v>
      </c>
    </row>
    <row r="9" spans="1:9">
      <c r="A9" s="23">
        <v>2</v>
      </c>
      <c r="B9" s="23" t="str">
        <f>'Computed — Composites'!A8</f>
        <v>P&amp;G Home Care (Mr. Clean, Microban 24)</v>
      </c>
      <c r="C9" s="32">
        <f>'Computed — Composites'!B8</f>
        <v>56.707133333333338</v>
      </c>
      <c r="D9" s="34">
        <f>IFERROR(C9-C7,"")</f>
        <v>6.1797333333333313</v>
      </c>
    </row>
    <row r="10" spans="1:9">
      <c r="A10" s="23">
        <v>3</v>
      </c>
      <c r="B10" s="23" t="str">
        <f>'Computed — Composites'!A9</f>
        <v>Seventh Generation</v>
      </c>
      <c r="C10" s="32">
        <f>'Computed — Composites'!B9</f>
        <v>60.085266666666676</v>
      </c>
      <c r="D10" s="34">
        <f>IFERROR(C10-C7,"")</f>
        <v>9.5578666666666692</v>
      </c>
    </row>
    <row r="13" spans="1:9">
      <c r="A13" s="21" t="s">
        <v>1077</v>
      </c>
    </row>
    <row r="14" spans="1:9">
      <c r="A14" s="9" t="s">
        <v>1056</v>
      </c>
      <c r="B14" s="9" t="str">
        <f>IF('Snapshot Setup'!B6="","",'Snapshot Setup'!B6)</f>
        <v>Lysol</v>
      </c>
      <c r="C14" s="9" t="str">
        <f>IF('Snapshot Setup'!B7="","",'Snapshot Setup'!B7)</f>
        <v>Clorox Portfolio (Clorox, Pine-Sol, Purell)</v>
      </c>
      <c r="D14" s="9" t="str">
        <f>IF('Snapshot Setup'!B8="","",'Snapshot Setup'!B8)</f>
        <v>P&amp;G Home Care (Mr. Clean, Microban 24)</v>
      </c>
      <c r="E14" s="9" t="str">
        <f>IF('Snapshot Setup'!B9="","",'Snapshot Setup'!B9)</f>
        <v>Seventh Generation</v>
      </c>
      <c r="F14" s="9"/>
      <c r="G14" s="9"/>
      <c r="H14" s="9"/>
    </row>
    <row r="15" spans="1:9">
      <c r="A15" s="10" t="s">
        <v>170</v>
      </c>
      <c r="B15" s="32">
        <f>'Computed — Dim Scores'!C4</f>
        <v>54.55</v>
      </c>
      <c r="C15" s="32">
        <f>'Computed — Dim Scores'!D4</f>
        <v>71.33</v>
      </c>
      <c r="D15" s="32">
        <f>'Computed — Dim Scores'!E4</f>
        <v>59.78</v>
      </c>
      <c r="E15" s="32">
        <f>'Computed — Dim Scores'!F4</f>
        <v>68.45</v>
      </c>
      <c r="F15" s="32"/>
      <c r="G15" s="32"/>
      <c r="H15" s="32"/>
    </row>
    <row r="16" spans="1:9">
      <c r="A16" s="10" t="s">
        <v>171</v>
      </c>
      <c r="B16" s="32">
        <f>'Computed — Dim Scores'!C5</f>
        <v>56.97</v>
      </c>
      <c r="C16" s="32">
        <f>'Computed — Dim Scores'!D5</f>
        <v>70.389999999999986</v>
      </c>
      <c r="D16" s="32">
        <f>'Computed — Dim Scores'!E5</f>
        <v>64.333333333333329</v>
      </c>
      <c r="E16" s="32">
        <f>'Computed — Dim Scores'!F5</f>
        <v>62.896666666666661</v>
      </c>
      <c r="F16" s="32"/>
      <c r="G16" s="32"/>
      <c r="H16" s="32"/>
    </row>
    <row r="17" spans="1:8">
      <c r="A17" s="10" t="s">
        <v>172</v>
      </c>
      <c r="B17" s="32">
        <f>'Computed — Dim Scores'!C6</f>
        <v>42</v>
      </c>
      <c r="C17" s="32">
        <f>'Computed — Dim Scores'!D6</f>
        <v>50.55</v>
      </c>
      <c r="D17" s="32">
        <f>'Computed — Dim Scores'!E6</f>
        <v>49.75</v>
      </c>
      <c r="E17" s="32">
        <f>'Computed — Dim Scores'!F6</f>
        <v>51.7</v>
      </c>
      <c r="F17" s="32"/>
      <c r="G17" s="32"/>
      <c r="H17" s="32"/>
    </row>
    <row r="18" spans="1:8">
      <c r="A18" s="10" t="s">
        <v>173</v>
      </c>
      <c r="B18" s="32">
        <f>'Computed — Dim Scores'!C7</f>
        <v>47.966666666666676</v>
      </c>
      <c r="C18" s="32">
        <f>'Computed — Dim Scores'!D7</f>
        <v>54.800000000000004</v>
      </c>
      <c r="D18" s="32">
        <f>'Computed — Dim Scores'!E7</f>
        <v>50.900000000000006</v>
      </c>
      <c r="E18" s="32">
        <f>'Computed — Dim Scores'!F7</f>
        <v>50.800000000000004</v>
      </c>
      <c r="F18" s="32"/>
      <c r="G18" s="32"/>
      <c r="H18" s="32"/>
    </row>
    <row r="21" spans="1:8">
      <c r="A21" s="21" t="s">
        <v>1078</v>
      </c>
    </row>
    <row r="22" spans="1:8">
      <c r="A22" s="9" t="s">
        <v>180</v>
      </c>
      <c r="B22" s="9" t="s">
        <v>506</v>
      </c>
      <c r="C22" s="9" t="s">
        <v>1030</v>
      </c>
    </row>
    <row r="23" spans="1:8">
      <c r="A23" s="10" t="s">
        <v>191</v>
      </c>
      <c r="B23" s="35">
        <f>IFERROR(SUMPRODUCT('Score — Lysol'!E4:E28,'Metric Reference'!G4:G28)/SUMPRODUCT(--ISNUMBER('Score — Lysol'!E4:E28),'Metric Reference'!G4:G28),"")</f>
        <v>58.440860215053753</v>
      </c>
      <c r="C23" s="23">
        <v>22</v>
      </c>
    </row>
    <row r="24" spans="1:8">
      <c r="A24" s="10" t="s">
        <v>323</v>
      </c>
      <c r="B24" s="35">
        <f>IFERROR(SUMPRODUCT('Score — Lysol'!E29:E48,'Metric Reference'!G29:G48)/SUMPRODUCT(--ISNUMBER('Score — Lysol'!E29:E48),'Metric Reference'!G29:G48),"")</f>
        <v>54.96907216494845</v>
      </c>
      <c r="C24" s="23">
        <v>18</v>
      </c>
    </row>
    <row r="25" spans="1:8">
      <c r="A25" s="10" t="s">
        <v>416</v>
      </c>
      <c r="B25" s="35">
        <f>IFERROR(SUMPRODUCT('Score — Lysol'!E49:E59,'Metric Reference'!G49:G59)/SUMPRODUCT(--ISNUMBER('Score — Lysol'!E49:E59),'Metric Reference'!G49:G59),"")</f>
        <v>44.588235294117652</v>
      </c>
      <c r="C25" s="23">
        <v>2</v>
      </c>
    </row>
    <row r="26" spans="1:8">
      <c r="A26" s="10" t="s">
        <v>457</v>
      </c>
      <c r="B26" s="35">
        <f>IFERROR(SUMPRODUCT('Score — Lysol'!E60:E68,'Metric Reference'!G60:G68)/SUMPRODUCT(--ISNUMBER('Score — Lysol'!E60:E68),'Metric Reference'!G60:G68),"")</f>
        <v>33.578947368421055</v>
      </c>
      <c r="C26" s="23">
        <v>8</v>
      </c>
    </row>
    <row r="27" spans="1:8">
      <c r="A27" s="10" t="s">
        <v>492</v>
      </c>
      <c r="B27" s="35">
        <f>IFERROR(SUMPRODUCT('Score — Lysol'!E69:E71,'Metric Reference'!G69:G71)/SUMPRODUCT(--ISNUMBER('Score — Lysol'!E69:E71),'Metric Reference'!G69:G71),"")</f>
        <v>53.499999999999993</v>
      </c>
      <c r="C27" s="23">
        <v>3</v>
      </c>
    </row>
  </sheetData>
  <mergeCells count="2">
    <mergeCell ref="A1:I1"/>
    <mergeCell ref="A5:D5"/>
  </mergeCells>
  <conditionalFormatting sqref="B26:B30">
    <cfRule type="colorScale" priority="4">
      <colorScale>
        <cfvo type="num" val="0"/>
        <cfvo type="num" val="50"/>
        <cfvo type="num" val="100"/>
        <color rgb="FFE85D5D"/>
        <color rgb="FFFFEB99"/>
        <color rgb="FF7BC97B"/>
      </colorScale>
    </cfRule>
  </conditionalFormatting>
  <conditionalFormatting sqref="B18:H21">
    <cfRule type="colorScale" priority="3">
      <colorScale>
        <cfvo type="num" val="0"/>
        <cfvo type="num" val="50"/>
        <cfvo type="num" val="100"/>
        <color rgb="FFE85D5D"/>
        <color rgb="FFFFEB99"/>
        <color rgb="FF7BC97B"/>
      </colorScale>
    </cfRule>
  </conditionalFormatting>
  <conditionalFormatting sqref="C7:C13">
    <cfRule type="colorScale" priority="1">
      <colorScale>
        <cfvo type="num" val="0"/>
        <cfvo type="num" val="50"/>
        <cfvo type="num" val="100"/>
        <color rgb="FFE85D5D"/>
        <color rgb="FFFFEB99"/>
        <color rgb="FF7BC97B"/>
      </colorScale>
    </cfRule>
  </conditionalFormatting>
  <conditionalFormatting sqref="D8:D13">
    <cfRule type="colorScale" priority="2">
      <colorScale>
        <cfvo type="num" val="-30"/>
        <cfvo type="num" val="0"/>
        <cfvo type="num" val="30"/>
        <color rgb="FFE85D5D"/>
        <color rgb="FFFFFFFF"/>
        <color rgb="FF7BC97B"/>
      </colorScale>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2"/>
  <sheetViews>
    <sheetView workbookViewId="0">
      <pane ySplit="1" topLeftCell="A2" activePane="bottomLeft" state="frozen"/>
      <selection pane="bottomLeft" activeCell="D5" sqref="D5"/>
    </sheetView>
  </sheetViews>
  <sheetFormatPr defaultColWidth="8.85546875" defaultRowHeight="15"/>
  <cols>
    <col min="1" max="1" width="12" customWidth="1"/>
    <col min="2" max="2" width="22" customWidth="1"/>
    <col min="3" max="3" width="11" customWidth="1"/>
    <col min="4" max="4" width="14" customWidth="1"/>
    <col min="5" max="5" width="22" customWidth="1"/>
    <col min="7" max="7" width="22" customWidth="1"/>
    <col min="8" max="8" width="18" customWidth="1"/>
  </cols>
  <sheetData>
    <row r="1" spans="1:8">
      <c r="A1" s="21" t="s">
        <v>1049</v>
      </c>
      <c r="B1" s="21" t="s">
        <v>1050</v>
      </c>
      <c r="C1" s="21" t="s">
        <v>1051</v>
      </c>
      <c r="D1" s="21" t="s">
        <v>1064</v>
      </c>
      <c r="E1" s="21" t="s">
        <v>1065</v>
      </c>
      <c r="G1" s="21" t="s">
        <v>1079</v>
      </c>
    </row>
    <row r="2" spans="1:8">
      <c r="A2" s="31">
        <v>46174</v>
      </c>
      <c r="B2" t="s">
        <v>153</v>
      </c>
      <c r="C2" t="b">
        <v>1</v>
      </c>
      <c r="D2" s="59">
        <v>50.53</v>
      </c>
      <c r="E2" t="s">
        <v>150</v>
      </c>
      <c r="G2" s="10" t="s">
        <v>1080</v>
      </c>
      <c r="H2" s="22">
        <f>SUMPRODUCT(1/COUNTIF(A2:A10000,A2:A10000&amp;""))-IF(COUNTBLANK(A2:A10000)&lt;10000,1,0)</f>
        <v>1.0000000000005946</v>
      </c>
    </row>
    <row r="3" spans="1:8">
      <c r="A3" s="31">
        <v>46174</v>
      </c>
      <c r="B3" t="s">
        <v>156</v>
      </c>
      <c r="C3" t="b">
        <v>0</v>
      </c>
      <c r="D3" s="59">
        <v>62.91</v>
      </c>
      <c r="E3" t="s">
        <v>150</v>
      </c>
      <c r="G3" s="10" t="s">
        <v>1081</v>
      </c>
      <c r="H3" s="36">
        <f>IFERROR(MAX(A2:A10000),"(none)")</f>
        <v>46174</v>
      </c>
    </row>
    <row r="4" spans="1:8">
      <c r="A4" s="31">
        <v>46174</v>
      </c>
      <c r="B4" t="s">
        <v>159</v>
      </c>
      <c r="C4" t="b">
        <v>0</v>
      </c>
      <c r="D4" s="59">
        <v>56.71</v>
      </c>
      <c r="E4" t="s">
        <v>150</v>
      </c>
      <c r="G4" s="10" t="s">
        <v>1082</v>
      </c>
      <c r="H4" s="22">
        <f>COUNTA(A:A)-1</f>
        <v>4</v>
      </c>
    </row>
    <row r="5" spans="1:8">
      <c r="A5" s="31">
        <v>46174</v>
      </c>
      <c r="B5" t="s">
        <v>161</v>
      </c>
      <c r="C5" t="b">
        <v>0</v>
      </c>
      <c r="D5" s="59">
        <v>60.09</v>
      </c>
      <c r="E5" t="s">
        <v>150</v>
      </c>
    </row>
    <row r="6" spans="1:8">
      <c r="A6" s="31"/>
      <c r="G6" s="37" t="s">
        <v>1083</v>
      </c>
    </row>
    <row r="7" spans="1:8">
      <c r="A7" s="31"/>
      <c r="G7" s="37" t="s">
        <v>1084</v>
      </c>
    </row>
    <row r="8" spans="1:8">
      <c r="A8" s="31"/>
    </row>
    <row r="9" spans="1:8">
      <c r="A9" s="31"/>
    </row>
    <row r="10" spans="1:8">
      <c r="A10" s="31"/>
    </row>
    <row r="11" spans="1:8">
      <c r="A11" s="31"/>
    </row>
    <row r="12" spans="1:8">
      <c r="A12" s="31"/>
    </row>
  </sheetData>
  <autoFilter ref="A1:E1"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
  <sheetViews>
    <sheetView workbookViewId="0">
      <pane ySplit="1" topLeftCell="A2" activePane="bottomLeft" state="frozen"/>
      <selection pane="bottomLeft" activeCell="E2" sqref="E2"/>
    </sheetView>
  </sheetViews>
  <sheetFormatPr defaultColWidth="8.85546875" defaultRowHeight="15"/>
  <cols>
    <col min="1" max="1" width="12" customWidth="1"/>
    <col min="2" max="2" width="22" customWidth="1"/>
    <col min="3" max="3" width="11" customWidth="1"/>
    <col min="4" max="4" width="32" customWidth="1"/>
    <col min="5" max="5" width="12" customWidth="1"/>
    <col min="7" max="7" width="22" customWidth="1"/>
    <col min="8" max="8" width="18" customWidth="1"/>
  </cols>
  <sheetData>
    <row r="1" spans="1:8">
      <c r="A1" s="21" t="s">
        <v>1049</v>
      </c>
      <c r="B1" s="21" t="s">
        <v>1050</v>
      </c>
      <c r="C1" s="21" t="s">
        <v>1051</v>
      </c>
      <c r="D1" s="21" t="s">
        <v>1052</v>
      </c>
      <c r="E1" s="21" t="s">
        <v>1055</v>
      </c>
      <c r="G1" s="21" t="s">
        <v>1079</v>
      </c>
    </row>
    <row r="2" spans="1:8">
      <c r="A2" s="31">
        <v>46174</v>
      </c>
      <c r="B2" t="s">
        <v>153</v>
      </c>
      <c r="C2" t="b">
        <v>1</v>
      </c>
      <c r="D2" t="s">
        <v>170</v>
      </c>
      <c r="E2" s="59">
        <v>54.55</v>
      </c>
      <c r="G2" s="10" t="s">
        <v>1080</v>
      </c>
      <c r="H2" s="22">
        <f>SUMPRODUCT(1/COUNTIF(A2:A10000,A2:A10000&amp;""))-IF(COUNTBLANK(A2:A10000)&lt;10000,1,0)</f>
        <v>0.9999999999991549</v>
      </c>
    </row>
    <row r="3" spans="1:8">
      <c r="A3" s="31">
        <v>46174</v>
      </c>
      <c r="B3" t="s">
        <v>153</v>
      </c>
      <c r="C3" t="b">
        <v>1</v>
      </c>
      <c r="D3" t="s">
        <v>171</v>
      </c>
      <c r="E3" s="59">
        <v>56.97</v>
      </c>
      <c r="G3" s="10" t="s">
        <v>1081</v>
      </c>
      <c r="H3" s="36">
        <f>IFERROR(MAX(A2:A10000),"(none)")</f>
        <v>46174</v>
      </c>
    </row>
    <row r="4" spans="1:8">
      <c r="A4" s="31">
        <v>46174</v>
      </c>
      <c r="B4" t="s">
        <v>153</v>
      </c>
      <c r="C4" t="b">
        <v>1</v>
      </c>
      <c r="D4" t="s">
        <v>172</v>
      </c>
      <c r="E4" s="59">
        <v>42</v>
      </c>
      <c r="G4" s="10" t="s">
        <v>1082</v>
      </c>
      <c r="H4" s="22">
        <f>COUNTA(A:A)-1</f>
        <v>16</v>
      </c>
    </row>
    <row r="5" spans="1:8">
      <c r="A5" s="31">
        <v>46174</v>
      </c>
      <c r="B5" t="s">
        <v>153</v>
      </c>
      <c r="C5" t="b">
        <v>1</v>
      </c>
      <c r="D5" t="s">
        <v>173</v>
      </c>
      <c r="E5" s="59">
        <v>47.97</v>
      </c>
    </row>
    <row r="6" spans="1:8">
      <c r="A6" s="31">
        <v>46174</v>
      </c>
      <c r="B6" t="s">
        <v>156</v>
      </c>
      <c r="C6" t="b">
        <v>0</v>
      </c>
      <c r="D6" t="s">
        <v>170</v>
      </c>
      <c r="E6" s="59">
        <v>71.33</v>
      </c>
      <c r="G6" s="37" t="s">
        <v>1083</v>
      </c>
    </row>
    <row r="7" spans="1:8">
      <c r="A7" s="31">
        <v>46174</v>
      </c>
      <c r="B7" t="s">
        <v>156</v>
      </c>
      <c r="C7" t="b">
        <v>0</v>
      </c>
      <c r="D7" t="s">
        <v>171</v>
      </c>
      <c r="E7" s="59">
        <v>70.39</v>
      </c>
      <c r="G7" s="37" t="s">
        <v>1084</v>
      </c>
    </row>
    <row r="8" spans="1:8">
      <c r="A8" s="31">
        <v>46174</v>
      </c>
      <c r="B8" t="s">
        <v>156</v>
      </c>
      <c r="C8" t="b">
        <v>0</v>
      </c>
      <c r="D8" t="s">
        <v>172</v>
      </c>
      <c r="E8" s="59">
        <v>50.55</v>
      </c>
    </row>
    <row r="9" spans="1:8">
      <c r="A9" s="31">
        <v>46174</v>
      </c>
      <c r="B9" t="s">
        <v>156</v>
      </c>
      <c r="C9" t="b">
        <v>0</v>
      </c>
      <c r="D9" t="s">
        <v>173</v>
      </c>
      <c r="E9" s="59">
        <v>54.8</v>
      </c>
    </row>
    <row r="10" spans="1:8">
      <c r="A10" s="31">
        <v>46174</v>
      </c>
      <c r="B10" t="s">
        <v>159</v>
      </c>
      <c r="C10" t="b">
        <v>0</v>
      </c>
      <c r="D10" t="s">
        <v>170</v>
      </c>
      <c r="E10" s="59">
        <v>59.78</v>
      </c>
    </row>
    <row r="11" spans="1:8">
      <c r="A11" s="31">
        <v>46174</v>
      </c>
      <c r="B11" t="s">
        <v>159</v>
      </c>
      <c r="C11" t="b">
        <v>0</v>
      </c>
      <c r="D11" t="s">
        <v>171</v>
      </c>
      <c r="E11" s="59">
        <v>64.33</v>
      </c>
    </row>
    <row r="12" spans="1:8">
      <c r="A12" s="31">
        <v>46174</v>
      </c>
      <c r="B12" t="s">
        <v>159</v>
      </c>
      <c r="C12" t="b">
        <v>0</v>
      </c>
      <c r="D12" t="s">
        <v>172</v>
      </c>
      <c r="E12" s="59">
        <v>49.75</v>
      </c>
    </row>
    <row r="13" spans="1:8">
      <c r="A13" s="31">
        <v>46174</v>
      </c>
      <c r="B13" t="s">
        <v>159</v>
      </c>
      <c r="C13" t="b">
        <v>0</v>
      </c>
      <c r="D13" t="s">
        <v>173</v>
      </c>
      <c r="E13" s="59">
        <v>50.9</v>
      </c>
    </row>
    <row r="14" spans="1:8">
      <c r="A14" s="31">
        <v>46174</v>
      </c>
      <c r="B14" t="s">
        <v>161</v>
      </c>
      <c r="C14" t="b">
        <v>0</v>
      </c>
      <c r="D14" t="s">
        <v>170</v>
      </c>
      <c r="E14" s="59">
        <v>68.45</v>
      </c>
    </row>
    <row r="15" spans="1:8">
      <c r="A15" s="31">
        <v>46174</v>
      </c>
      <c r="B15" t="s">
        <v>161</v>
      </c>
      <c r="C15" t="b">
        <v>0</v>
      </c>
      <c r="D15" t="s">
        <v>171</v>
      </c>
      <c r="E15" s="59">
        <v>62.9</v>
      </c>
    </row>
    <row r="16" spans="1:8">
      <c r="A16" s="31">
        <v>46174</v>
      </c>
      <c r="B16" t="s">
        <v>161</v>
      </c>
      <c r="C16" t="b">
        <v>0</v>
      </c>
      <c r="D16" t="s">
        <v>172</v>
      </c>
      <c r="E16" s="59">
        <v>51.7</v>
      </c>
    </row>
    <row r="17" spans="1:5">
      <c r="A17" s="31">
        <v>46174</v>
      </c>
      <c r="B17" t="s">
        <v>161</v>
      </c>
      <c r="C17" t="b">
        <v>0</v>
      </c>
      <c r="D17" t="s">
        <v>173</v>
      </c>
      <c r="E17" s="59">
        <v>50.8</v>
      </c>
    </row>
    <row r="18" spans="1:5">
      <c r="A18" s="31"/>
    </row>
    <row r="19" spans="1:5">
      <c r="A19" s="31"/>
    </row>
    <row r="20" spans="1:5">
      <c r="A20" s="31"/>
    </row>
    <row r="21" spans="1:5">
      <c r="A21" s="31"/>
    </row>
    <row r="22" spans="1:5">
      <c r="A22" s="31"/>
    </row>
    <row r="23" spans="1:5">
      <c r="A23" s="31"/>
    </row>
    <row r="24" spans="1:5">
      <c r="A24" s="31"/>
    </row>
  </sheetData>
  <autoFilter ref="A1:E1"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80"/>
  <sheetViews>
    <sheetView workbookViewId="0">
      <pane ySplit="1" topLeftCell="A2" activePane="bottomLeft" state="frozen"/>
      <selection pane="bottomLeft" activeCell="G10" sqref="G10"/>
    </sheetView>
  </sheetViews>
  <sheetFormatPr defaultColWidth="8.85546875" defaultRowHeight="15"/>
  <cols>
    <col min="1" max="1" width="12" customWidth="1"/>
    <col min="2" max="2" width="22" customWidth="1"/>
    <col min="3" max="3" width="11" customWidth="1"/>
    <col min="4" max="4" width="32" customWidth="1"/>
    <col min="5" max="5" width="11" customWidth="1"/>
    <col min="6" max="6" width="38" customWidth="1"/>
    <col min="7" max="7" width="12" customWidth="1"/>
    <col min="9" max="9" width="22" customWidth="1"/>
    <col min="10" max="10" width="18" customWidth="1"/>
  </cols>
  <sheetData>
    <row r="1" spans="1:10">
      <c r="A1" s="21" t="s">
        <v>1049</v>
      </c>
      <c r="B1" s="21" t="s">
        <v>1050</v>
      </c>
      <c r="C1" s="21" t="s">
        <v>1051</v>
      </c>
      <c r="D1" s="21" t="s">
        <v>1052</v>
      </c>
      <c r="E1" s="21" t="s">
        <v>1053</v>
      </c>
      <c r="F1" s="21" t="s">
        <v>1054</v>
      </c>
      <c r="G1" s="21" t="s">
        <v>1055</v>
      </c>
      <c r="I1" s="21" t="s">
        <v>1079</v>
      </c>
    </row>
    <row r="2" spans="1:10">
      <c r="A2" s="31">
        <v>46174</v>
      </c>
      <c r="B2" t="s">
        <v>153</v>
      </c>
      <c r="C2" t="b">
        <v>1</v>
      </c>
      <c r="D2" t="s">
        <v>170</v>
      </c>
      <c r="E2" t="s">
        <v>1031</v>
      </c>
      <c r="F2" t="s">
        <v>364</v>
      </c>
      <c r="G2" s="59">
        <v>51.67</v>
      </c>
      <c r="I2" s="10" t="s">
        <v>1080</v>
      </c>
      <c r="J2" s="22">
        <f>SUMPRODUCT(1/COUNTIF(A2:A10000,A2:A10000&amp;""))-IF(COUNTBLANK(A2:A10000)&lt;10000,1,0)</f>
        <v>1.0000000000000173</v>
      </c>
    </row>
    <row r="3" spans="1:10">
      <c r="A3" s="31">
        <v>46174</v>
      </c>
      <c r="B3" t="s">
        <v>153</v>
      </c>
      <c r="C3" t="b">
        <v>1</v>
      </c>
      <c r="D3" t="s">
        <v>170</v>
      </c>
      <c r="E3" t="s">
        <v>1032</v>
      </c>
      <c r="F3" t="s">
        <v>284</v>
      </c>
      <c r="G3" s="59">
        <v>55.5</v>
      </c>
      <c r="I3" s="10" t="s">
        <v>1081</v>
      </c>
      <c r="J3" s="36">
        <f>IFERROR(MAX(A2:A10000),"(none)")</f>
        <v>46174</v>
      </c>
    </row>
    <row r="4" spans="1:10">
      <c r="A4" s="31">
        <v>46174</v>
      </c>
      <c r="B4" t="s">
        <v>153</v>
      </c>
      <c r="C4" t="b">
        <v>1</v>
      </c>
      <c r="D4" t="s">
        <v>170</v>
      </c>
      <c r="E4" t="s">
        <v>1033</v>
      </c>
      <c r="F4" t="s">
        <v>353</v>
      </c>
      <c r="G4" s="59">
        <v>62</v>
      </c>
      <c r="I4" s="10" t="s">
        <v>1082</v>
      </c>
      <c r="J4" s="22">
        <f>COUNTA(A:A)-1</f>
        <v>68</v>
      </c>
    </row>
    <row r="5" spans="1:10">
      <c r="A5" s="31">
        <v>46174</v>
      </c>
      <c r="B5" t="s">
        <v>153</v>
      </c>
      <c r="C5" t="b">
        <v>1</v>
      </c>
      <c r="D5" t="s">
        <v>170</v>
      </c>
      <c r="E5" t="s">
        <v>1034</v>
      </c>
      <c r="F5" t="s">
        <v>389</v>
      </c>
      <c r="G5" s="59">
        <v>50</v>
      </c>
    </row>
    <row r="6" spans="1:10">
      <c r="A6" s="31">
        <v>46174</v>
      </c>
      <c r="B6" t="s">
        <v>153</v>
      </c>
      <c r="C6" t="b">
        <v>1</v>
      </c>
      <c r="D6" t="s">
        <v>170</v>
      </c>
      <c r="E6" t="s">
        <v>1035</v>
      </c>
      <c r="F6" t="s">
        <v>313</v>
      </c>
      <c r="G6" s="59">
        <v>50</v>
      </c>
      <c r="I6" s="37" t="s">
        <v>1083</v>
      </c>
    </row>
    <row r="7" spans="1:10">
      <c r="A7" s="31">
        <v>46174</v>
      </c>
      <c r="B7" t="s">
        <v>153</v>
      </c>
      <c r="C7" t="b">
        <v>1</v>
      </c>
      <c r="D7" t="s">
        <v>171</v>
      </c>
      <c r="E7" t="s">
        <v>1036</v>
      </c>
      <c r="F7" t="s">
        <v>194</v>
      </c>
      <c r="G7" s="59">
        <v>55.4</v>
      </c>
      <c r="I7" s="37" t="s">
        <v>1084</v>
      </c>
    </row>
    <row r="8" spans="1:10">
      <c r="A8" s="31">
        <v>46174</v>
      </c>
      <c r="B8" t="s">
        <v>153</v>
      </c>
      <c r="C8" t="b">
        <v>1</v>
      </c>
      <c r="D8" t="s">
        <v>171</v>
      </c>
      <c r="E8" t="s">
        <v>1037</v>
      </c>
      <c r="F8" t="s">
        <v>330</v>
      </c>
      <c r="G8" s="59">
        <v>58</v>
      </c>
    </row>
    <row r="9" spans="1:10">
      <c r="A9" s="31">
        <v>46174</v>
      </c>
      <c r="B9" t="s">
        <v>153</v>
      </c>
      <c r="C9" t="b">
        <v>1</v>
      </c>
      <c r="D9" t="s">
        <v>171</v>
      </c>
      <c r="E9" t="s">
        <v>1038</v>
      </c>
      <c r="F9" t="s">
        <v>231</v>
      </c>
      <c r="G9" s="59">
        <v>60</v>
      </c>
    </row>
    <row r="10" spans="1:10">
      <c r="A10" s="31">
        <v>46174</v>
      </c>
      <c r="B10" t="s">
        <v>153</v>
      </c>
      <c r="C10" t="b">
        <v>1</v>
      </c>
      <c r="D10" t="s">
        <v>171</v>
      </c>
      <c r="E10" t="s">
        <v>1039</v>
      </c>
      <c r="F10" t="s">
        <v>251</v>
      </c>
      <c r="G10" s="59">
        <v>53</v>
      </c>
    </row>
    <row r="11" spans="1:10">
      <c r="A11" s="31">
        <v>46174</v>
      </c>
      <c r="B11" t="s">
        <v>153</v>
      </c>
      <c r="C11" t="b">
        <v>1</v>
      </c>
      <c r="D11" t="s">
        <v>172</v>
      </c>
      <c r="E11" t="s">
        <v>1040</v>
      </c>
      <c r="F11" t="s">
        <v>325</v>
      </c>
      <c r="G11" s="59">
        <v>54</v>
      </c>
    </row>
    <row r="12" spans="1:10">
      <c r="A12" s="31">
        <v>46174</v>
      </c>
      <c r="B12" t="s">
        <v>153</v>
      </c>
      <c r="C12" t="b">
        <v>1</v>
      </c>
      <c r="D12" t="s">
        <v>172</v>
      </c>
      <c r="E12" t="s">
        <v>1041</v>
      </c>
      <c r="F12" t="s">
        <v>334</v>
      </c>
      <c r="G12" s="59">
        <v>44</v>
      </c>
    </row>
    <row r="13" spans="1:10">
      <c r="A13" s="31">
        <v>46174</v>
      </c>
      <c r="B13" t="s">
        <v>153</v>
      </c>
      <c r="C13" t="b">
        <v>1</v>
      </c>
      <c r="D13" t="s">
        <v>172</v>
      </c>
      <c r="E13" t="s">
        <v>1042</v>
      </c>
      <c r="F13" t="s">
        <v>477</v>
      </c>
      <c r="G13" s="59">
        <v>20</v>
      </c>
    </row>
    <row r="14" spans="1:10">
      <c r="A14" s="31">
        <v>46174</v>
      </c>
      <c r="B14" t="s">
        <v>153</v>
      </c>
      <c r="C14" t="b">
        <v>1</v>
      </c>
      <c r="D14" t="s">
        <v>173</v>
      </c>
      <c r="E14" t="s">
        <v>1043</v>
      </c>
      <c r="F14" t="s">
        <v>278</v>
      </c>
      <c r="G14" s="59">
        <v>27.67</v>
      </c>
    </row>
    <row r="15" spans="1:10">
      <c r="A15" s="31">
        <v>46174</v>
      </c>
      <c r="B15" t="s">
        <v>153</v>
      </c>
      <c r="C15" t="b">
        <v>1</v>
      </c>
      <c r="D15" t="s">
        <v>173</v>
      </c>
      <c r="E15" t="s">
        <v>1044</v>
      </c>
      <c r="F15" t="s">
        <v>241</v>
      </c>
      <c r="G15" s="59">
        <v>59.33</v>
      </c>
    </row>
    <row r="16" spans="1:10">
      <c r="A16" s="31">
        <v>46174</v>
      </c>
      <c r="B16" t="s">
        <v>153</v>
      </c>
      <c r="C16" t="b">
        <v>1</v>
      </c>
      <c r="D16" t="s">
        <v>173</v>
      </c>
      <c r="E16" t="s">
        <v>1045</v>
      </c>
      <c r="F16" t="s">
        <v>224</v>
      </c>
      <c r="G16" s="59">
        <v>54</v>
      </c>
    </row>
    <row r="17" spans="1:7">
      <c r="A17" s="31">
        <v>46174</v>
      </c>
      <c r="B17" t="s">
        <v>153</v>
      </c>
      <c r="C17" t="b">
        <v>1</v>
      </c>
      <c r="D17" t="s">
        <v>173</v>
      </c>
      <c r="E17" t="s">
        <v>1046</v>
      </c>
      <c r="F17" t="s">
        <v>273</v>
      </c>
      <c r="G17" s="59">
        <v>62</v>
      </c>
    </row>
    <row r="18" spans="1:7">
      <c r="A18" s="31">
        <v>46174</v>
      </c>
      <c r="B18" t="s">
        <v>153</v>
      </c>
      <c r="C18" t="b">
        <v>1</v>
      </c>
      <c r="D18" t="s">
        <v>173</v>
      </c>
      <c r="E18" t="s">
        <v>1047</v>
      </c>
      <c r="F18" t="s">
        <v>449</v>
      </c>
      <c r="G18" s="59">
        <v>46</v>
      </c>
    </row>
    <row r="19" spans="1:7">
      <c r="A19" s="31">
        <v>46174</v>
      </c>
      <c r="B19" t="s">
        <v>156</v>
      </c>
      <c r="C19" t="b">
        <v>0</v>
      </c>
      <c r="D19" t="s">
        <v>170</v>
      </c>
      <c r="E19" t="s">
        <v>1031</v>
      </c>
      <c r="F19" t="s">
        <v>364</v>
      </c>
      <c r="G19" s="59">
        <v>74</v>
      </c>
    </row>
    <row r="20" spans="1:7">
      <c r="A20" s="31">
        <v>46174</v>
      </c>
      <c r="B20" t="s">
        <v>156</v>
      </c>
      <c r="C20" t="b">
        <v>0</v>
      </c>
      <c r="D20" t="s">
        <v>170</v>
      </c>
      <c r="E20" t="s">
        <v>1032</v>
      </c>
      <c r="F20" t="s">
        <v>284</v>
      </c>
      <c r="G20" s="59">
        <v>72</v>
      </c>
    </row>
    <row r="21" spans="1:7">
      <c r="A21" s="31">
        <v>46174</v>
      </c>
      <c r="B21" t="s">
        <v>156</v>
      </c>
      <c r="C21" t="b">
        <v>0</v>
      </c>
      <c r="D21" t="s">
        <v>170</v>
      </c>
      <c r="E21" t="s">
        <v>1033</v>
      </c>
      <c r="F21" t="s">
        <v>353</v>
      </c>
      <c r="G21" s="59">
        <v>75</v>
      </c>
    </row>
    <row r="22" spans="1:7">
      <c r="A22" s="31">
        <v>46174</v>
      </c>
      <c r="B22" t="s">
        <v>156</v>
      </c>
      <c r="C22" t="b">
        <v>0</v>
      </c>
      <c r="D22" t="s">
        <v>170</v>
      </c>
      <c r="E22" t="s">
        <v>1034</v>
      </c>
      <c r="F22" t="s">
        <v>389</v>
      </c>
      <c r="G22" s="59">
        <v>63</v>
      </c>
    </row>
    <row r="23" spans="1:7">
      <c r="A23" s="31">
        <v>46174</v>
      </c>
      <c r="B23" t="s">
        <v>156</v>
      </c>
      <c r="C23" t="b">
        <v>0</v>
      </c>
      <c r="D23" t="s">
        <v>170</v>
      </c>
      <c r="E23" t="s">
        <v>1035</v>
      </c>
      <c r="F23" t="s">
        <v>313</v>
      </c>
      <c r="G23" s="59">
        <v>61.6</v>
      </c>
    </row>
    <row r="24" spans="1:7">
      <c r="A24" s="31">
        <v>46174</v>
      </c>
      <c r="B24" t="s">
        <v>156</v>
      </c>
      <c r="C24" t="b">
        <v>0</v>
      </c>
      <c r="D24" t="s">
        <v>171</v>
      </c>
      <c r="E24" t="s">
        <v>1036</v>
      </c>
      <c r="F24" t="s">
        <v>194</v>
      </c>
      <c r="G24" s="59">
        <v>69.8</v>
      </c>
    </row>
    <row r="25" spans="1:7">
      <c r="A25" s="31">
        <v>46174</v>
      </c>
      <c r="B25" t="s">
        <v>156</v>
      </c>
      <c r="C25" t="b">
        <v>0</v>
      </c>
      <c r="D25" t="s">
        <v>171</v>
      </c>
      <c r="E25" t="s">
        <v>1037</v>
      </c>
      <c r="F25" t="s">
        <v>330</v>
      </c>
      <c r="G25" s="59">
        <v>72</v>
      </c>
    </row>
    <row r="26" spans="1:7">
      <c r="A26" s="31">
        <v>46174</v>
      </c>
      <c r="B26" t="s">
        <v>156</v>
      </c>
      <c r="C26" t="b">
        <v>0</v>
      </c>
      <c r="D26" t="s">
        <v>171</v>
      </c>
      <c r="E26" t="s">
        <v>1038</v>
      </c>
      <c r="F26" t="s">
        <v>231</v>
      </c>
      <c r="G26" s="59">
        <v>70</v>
      </c>
    </row>
    <row r="27" spans="1:7">
      <c r="A27" s="31">
        <v>46174</v>
      </c>
      <c r="B27" t="s">
        <v>156</v>
      </c>
      <c r="C27" t="b">
        <v>0</v>
      </c>
      <c r="D27" t="s">
        <v>171</v>
      </c>
      <c r="E27" t="s">
        <v>1039</v>
      </c>
      <c r="F27" t="s">
        <v>251</v>
      </c>
      <c r="G27" s="59">
        <v>69</v>
      </c>
    </row>
    <row r="28" spans="1:7">
      <c r="A28" s="31">
        <v>46174</v>
      </c>
      <c r="B28" t="s">
        <v>156</v>
      </c>
      <c r="C28" t="b">
        <v>0</v>
      </c>
      <c r="D28" t="s">
        <v>172</v>
      </c>
      <c r="E28" t="s">
        <v>1040</v>
      </c>
      <c r="F28" t="s">
        <v>325</v>
      </c>
      <c r="G28" s="59">
        <v>68</v>
      </c>
    </row>
    <row r="29" spans="1:7">
      <c r="A29" s="31">
        <v>46174</v>
      </c>
      <c r="B29" t="s">
        <v>156</v>
      </c>
      <c r="C29" t="b">
        <v>0</v>
      </c>
      <c r="D29" t="s">
        <v>172</v>
      </c>
      <c r="E29" t="s">
        <v>1041</v>
      </c>
      <c r="F29" t="s">
        <v>334</v>
      </c>
      <c r="G29" s="59">
        <v>51</v>
      </c>
    </row>
    <row r="30" spans="1:7">
      <c r="A30" s="31">
        <v>46174</v>
      </c>
      <c r="B30" t="s">
        <v>156</v>
      </c>
      <c r="C30" t="b">
        <v>0</v>
      </c>
      <c r="D30" t="s">
        <v>172</v>
      </c>
      <c r="E30" t="s">
        <v>1042</v>
      </c>
      <c r="F30" t="s">
        <v>477</v>
      </c>
      <c r="G30" s="59">
        <v>22</v>
      </c>
    </row>
    <row r="31" spans="1:7">
      <c r="A31" s="31">
        <v>46174</v>
      </c>
      <c r="B31" t="s">
        <v>156</v>
      </c>
      <c r="C31" t="b">
        <v>0</v>
      </c>
      <c r="D31" t="s">
        <v>173</v>
      </c>
      <c r="E31" t="s">
        <v>1043</v>
      </c>
      <c r="F31" t="s">
        <v>278</v>
      </c>
      <c r="G31" s="59">
        <v>29.33</v>
      </c>
    </row>
    <row r="32" spans="1:7">
      <c r="A32" s="31">
        <v>46174</v>
      </c>
      <c r="B32" t="s">
        <v>156</v>
      </c>
      <c r="C32" t="b">
        <v>0</v>
      </c>
      <c r="D32" t="s">
        <v>173</v>
      </c>
      <c r="E32" t="s">
        <v>1044</v>
      </c>
      <c r="F32" t="s">
        <v>241</v>
      </c>
      <c r="G32" s="59">
        <v>72</v>
      </c>
    </row>
    <row r="33" spans="1:7">
      <c r="A33" s="31">
        <v>46174</v>
      </c>
      <c r="B33" t="s">
        <v>156</v>
      </c>
      <c r="C33" t="b">
        <v>0</v>
      </c>
      <c r="D33" t="s">
        <v>173</v>
      </c>
      <c r="E33" t="s">
        <v>1045</v>
      </c>
      <c r="F33" t="s">
        <v>224</v>
      </c>
      <c r="G33" s="59">
        <v>68</v>
      </c>
    </row>
    <row r="34" spans="1:7">
      <c r="A34" s="31">
        <v>46174</v>
      </c>
      <c r="B34" t="s">
        <v>156</v>
      </c>
      <c r="C34" t="b">
        <v>0</v>
      </c>
      <c r="D34" t="s">
        <v>173</v>
      </c>
      <c r="E34" t="s">
        <v>1046</v>
      </c>
      <c r="F34" t="s">
        <v>273</v>
      </c>
      <c r="G34" s="59">
        <v>60</v>
      </c>
    </row>
    <row r="35" spans="1:7">
      <c r="A35" s="31">
        <v>46174</v>
      </c>
      <c r="B35" t="s">
        <v>156</v>
      </c>
      <c r="C35" t="b">
        <v>0</v>
      </c>
      <c r="D35" t="s">
        <v>173</v>
      </c>
      <c r="E35" t="s">
        <v>1047</v>
      </c>
      <c r="F35" t="s">
        <v>449</v>
      </c>
      <c r="G35" s="59">
        <v>60</v>
      </c>
    </row>
    <row r="36" spans="1:7">
      <c r="A36" s="31">
        <v>46174</v>
      </c>
      <c r="B36" t="s">
        <v>159</v>
      </c>
      <c r="C36" t="b">
        <v>0</v>
      </c>
      <c r="D36" t="s">
        <v>170</v>
      </c>
      <c r="E36" t="s">
        <v>1031</v>
      </c>
      <c r="F36" t="s">
        <v>364</v>
      </c>
      <c r="G36" s="59">
        <v>56.67</v>
      </c>
    </row>
    <row r="37" spans="1:7">
      <c r="A37" s="31">
        <v>46174</v>
      </c>
      <c r="B37" t="s">
        <v>159</v>
      </c>
      <c r="C37" t="b">
        <v>0</v>
      </c>
      <c r="D37" t="s">
        <v>170</v>
      </c>
      <c r="E37" t="s">
        <v>1032</v>
      </c>
      <c r="F37" t="s">
        <v>284</v>
      </c>
      <c r="G37" s="59">
        <v>64</v>
      </c>
    </row>
    <row r="38" spans="1:7">
      <c r="A38" s="31">
        <v>46174</v>
      </c>
      <c r="B38" t="s">
        <v>159</v>
      </c>
      <c r="C38" t="b">
        <v>0</v>
      </c>
      <c r="D38" t="s">
        <v>170</v>
      </c>
      <c r="E38" t="s">
        <v>1033</v>
      </c>
      <c r="F38" t="s">
        <v>353</v>
      </c>
      <c r="G38" s="59">
        <v>56</v>
      </c>
    </row>
    <row r="39" spans="1:7">
      <c r="A39" s="31">
        <v>46174</v>
      </c>
      <c r="B39" t="s">
        <v>159</v>
      </c>
      <c r="C39" t="b">
        <v>0</v>
      </c>
      <c r="D39" t="s">
        <v>170</v>
      </c>
      <c r="E39" t="s">
        <v>1034</v>
      </c>
      <c r="F39" t="s">
        <v>389</v>
      </c>
      <c r="G39" s="59">
        <v>62</v>
      </c>
    </row>
    <row r="40" spans="1:7">
      <c r="A40" s="31">
        <v>46174</v>
      </c>
      <c r="B40" t="s">
        <v>159</v>
      </c>
      <c r="C40" t="b">
        <v>0</v>
      </c>
      <c r="D40" t="s">
        <v>170</v>
      </c>
      <c r="E40" t="s">
        <v>1035</v>
      </c>
      <c r="F40" t="s">
        <v>313</v>
      </c>
      <c r="G40" s="59">
        <v>61.6</v>
      </c>
    </row>
    <row r="41" spans="1:7">
      <c r="A41" s="31">
        <v>46174</v>
      </c>
      <c r="B41" t="s">
        <v>159</v>
      </c>
      <c r="C41" t="b">
        <v>0</v>
      </c>
      <c r="D41" t="s">
        <v>171</v>
      </c>
      <c r="E41" t="s">
        <v>1036</v>
      </c>
      <c r="F41" t="s">
        <v>194</v>
      </c>
      <c r="G41" s="59">
        <v>65</v>
      </c>
    </row>
    <row r="42" spans="1:7">
      <c r="A42" s="31">
        <v>46174</v>
      </c>
      <c r="B42" t="s">
        <v>159</v>
      </c>
      <c r="C42" t="b">
        <v>0</v>
      </c>
      <c r="D42" t="s">
        <v>171</v>
      </c>
      <c r="E42" t="s">
        <v>1037</v>
      </c>
      <c r="F42" t="s">
        <v>330</v>
      </c>
      <c r="G42" s="59">
        <v>73</v>
      </c>
    </row>
    <row r="43" spans="1:7">
      <c r="A43" s="31">
        <v>46174</v>
      </c>
      <c r="B43" t="s">
        <v>159</v>
      </c>
      <c r="C43" t="b">
        <v>0</v>
      </c>
      <c r="D43" t="s">
        <v>171</v>
      </c>
      <c r="E43" t="s">
        <v>1038</v>
      </c>
      <c r="F43" t="s">
        <v>231</v>
      </c>
      <c r="G43" s="59">
        <v>53.33</v>
      </c>
    </row>
    <row r="44" spans="1:7">
      <c r="A44" s="31">
        <v>46174</v>
      </c>
      <c r="B44" t="s">
        <v>159</v>
      </c>
      <c r="C44" t="b">
        <v>0</v>
      </c>
      <c r="D44" t="s">
        <v>171</v>
      </c>
      <c r="E44" t="s">
        <v>1039</v>
      </c>
      <c r="F44" t="s">
        <v>251</v>
      </c>
      <c r="G44" s="59">
        <v>64</v>
      </c>
    </row>
    <row r="45" spans="1:7">
      <c r="A45" s="31">
        <v>46174</v>
      </c>
      <c r="B45" t="s">
        <v>159</v>
      </c>
      <c r="C45" t="b">
        <v>0</v>
      </c>
      <c r="D45" t="s">
        <v>172</v>
      </c>
      <c r="E45" t="s">
        <v>1040</v>
      </c>
      <c r="F45" t="s">
        <v>325</v>
      </c>
      <c r="G45" s="59">
        <v>66</v>
      </c>
    </row>
    <row r="46" spans="1:7">
      <c r="A46" s="31">
        <v>46174</v>
      </c>
      <c r="B46" t="s">
        <v>159</v>
      </c>
      <c r="C46" t="b">
        <v>0</v>
      </c>
      <c r="D46" t="s">
        <v>172</v>
      </c>
      <c r="E46" t="s">
        <v>1041</v>
      </c>
      <c r="F46" t="s">
        <v>334</v>
      </c>
      <c r="G46" s="59">
        <v>51</v>
      </c>
    </row>
    <row r="47" spans="1:7">
      <c r="A47" s="31">
        <v>46174</v>
      </c>
      <c r="B47" t="s">
        <v>159</v>
      </c>
      <c r="C47" t="b">
        <v>0</v>
      </c>
      <c r="D47" t="s">
        <v>172</v>
      </c>
      <c r="E47" t="s">
        <v>1042</v>
      </c>
      <c r="F47" t="s">
        <v>477</v>
      </c>
      <c r="G47" s="59">
        <v>22</v>
      </c>
    </row>
    <row r="48" spans="1:7">
      <c r="A48" s="31">
        <v>46174</v>
      </c>
      <c r="B48" t="s">
        <v>159</v>
      </c>
      <c r="C48" t="b">
        <v>0</v>
      </c>
      <c r="D48" t="s">
        <v>173</v>
      </c>
      <c r="E48" t="s">
        <v>1043</v>
      </c>
      <c r="F48" t="s">
        <v>278</v>
      </c>
      <c r="G48" s="59">
        <v>29</v>
      </c>
    </row>
    <row r="49" spans="1:7">
      <c r="A49" s="31">
        <v>46174</v>
      </c>
      <c r="B49" t="s">
        <v>159</v>
      </c>
      <c r="C49" t="b">
        <v>0</v>
      </c>
      <c r="D49" t="s">
        <v>173</v>
      </c>
      <c r="E49" t="s">
        <v>1044</v>
      </c>
      <c r="F49" t="s">
        <v>241</v>
      </c>
      <c r="G49" s="59">
        <v>68</v>
      </c>
    </row>
    <row r="50" spans="1:7">
      <c r="A50" s="31">
        <v>46174</v>
      </c>
      <c r="B50" t="s">
        <v>159</v>
      </c>
      <c r="C50" t="b">
        <v>0</v>
      </c>
      <c r="D50" t="s">
        <v>173</v>
      </c>
      <c r="E50" t="s">
        <v>1045</v>
      </c>
      <c r="F50" t="s">
        <v>224</v>
      </c>
      <c r="G50" s="59">
        <v>70</v>
      </c>
    </row>
    <row r="51" spans="1:7">
      <c r="A51" s="31">
        <v>46174</v>
      </c>
      <c r="B51" t="s">
        <v>159</v>
      </c>
      <c r="C51" t="b">
        <v>0</v>
      </c>
      <c r="D51" t="s">
        <v>173</v>
      </c>
      <c r="E51" t="s">
        <v>1046</v>
      </c>
      <c r="F51" t="s">
        <v>273</v>
      </c>
      <c r="G51" s="59">
        <v>42</v>
      </c>
    </row>
    <row r="52" spans="1:7">
      <c r="A52" s="31">
        <v>46174</v>
      </c>
      <c r="B52" t="s">
        <v>159</v>
      </c>
      <c r="C52" t="b">
        <v>0</v>
      </c>
      <c r="D52" t="s">
        <v>173</v>
      </c>
      <c r="E52" t="s">
        <v>1047</v>
      </c>
      <c r="F52" t="s">
        <v>449</v>
      </c>
      <c r="G52" s="59">
        <v>62</v>
      </c>
    </row>
    <row r="53" spans="1:7">
      <c r="A53" s="31">
        <v>46174</v>
      </c>
      <c r="B53" t="s">
        <v>161</v>
      </c>
      <c r="C53" t="b">
        <v>0</v>
      </c>
      <c r="D53" t="s">
        <v>170</v>
      </c>
      <c r="E53" t="s">
        <v>1031</v>
      </c>
      <c r="F53" t="s">
        <v>364</v>
      </c>
      <c r="G53" s="59">
        <v>70</v>
      </c>
    </row>
    <row r="54" spans="1:7">
      <c r="A54" s="31">
        <v>46174</v>
      </c>
      <c r="B54" t="s">
        <v>161</v>
      </c>
      <c r="C54" t="b">
        <v>0</v>
      </c>
      <c r="D54" t="s">
        <v>170</v>
      </c>
      <c r="E54" t="s">
        <v>1032</v>
      </c>
      <c r="F54" t="s">
        <v>284</v>
      </c>
      <c r="G54" s="59">
        <v>67.33</v>
      </c>
    </row>
    <row r="55" spans="1:7">
      <c r="A55" s="31">
        <v>46174</v>
      </c>
      <c r="B55" t="s">
        <v>161</v>
      </c>
      <c r="C55" t="b">
        <v>0</v>
      </c>
      <c r="D55" t="s">
        <v>170</v>
      </c>
      <c r="E55" t="s">
        <v>1033</v>
      </c>
      <c r="F55" t="s">
        <v>353</v>
      </c>
      <c r="G55" s="59">
        <v>68</v>
      </c>
    </row>
    <row r="56" spans="1:7">
      <c r="A56" s="31">
        <v>46174</v>
      </c>
      <c r="B56" t="s">
        <v>161</v>
      </c>
      <c r="C56" t="b">
        <v>0</v>
      </c>
      <c r="D56" t="s">
        <v>170</v>
      </c>
      <c r="E56" t="s">
        <v>1034</v>
      </c>
      <c r="F56" t="s">
        <v>389</v>
      </c>
      <c r="G56" s="59">
        <v>69</v>
      </c>
    </row>
    <row r="57" spans="1:7">
      <c r="A57" s="31">
        <v>46174</v>
      </c>
      <c r="B57" t="s">
        <v>161</v>
      </c>
      <c r="C57" t="b">
        <v>0</v>
      </c>
      <c r="D57" t="s">
        <v>170</v>
      </c>
      <c r="E57" t="s">
        <v>1035</v>
      </c>
      <c r="F57" t="s">
        <v>313</v>
      </c>
      <c r="G57" s="59">
        <v>66</v>
      </c>
    </row>
    <row r="58" spans="1:7">
      <c r="A58" s="31">
        <v>46174</v>
      </c>
      <c r="B58" t="s">
        <v>161</v>
      </c>
      <c r="C58" t="b">
        <v>0</v>
      </c>
      <c r="D58" t="s">
        <v>171</v>
      </c>
      <c r="E58" t="s">
        <v>1036</v>
      </c>
      <c r="F58" t="s">
        <v>194</v>
      </c>
      <c r="G58" s="59">
        <v>62.6</v>
      </c>
    </row>
    <row r="59" spans="1:7">
      <c r="A59" s="31">
        <v>46174</v>
      </c>
      <c r="B59" t="s">
        <v>161</v>
      </c>
      <c r="C59" t="b">
        <v>0</v>
      </c>
      <c r="D59" t="s">
        <v>171</v>
      </c>
      <c r="E59" t="s">
        <v>1037</v>
      </c>
      <c r="F59" t="s">
        <v>330</v>
      </c>
      <c r="G59" s="59">
        <v>67</v>
      </c>
    </row>
    <row r="60" spans="1:7">
      <c r="A60" s="31">
        <v>46174</v>
      </c>
      <c r="B60" t="s">
        <v>161</v>
      </c>
      <c r="C60" t="b">
        <v>0</v>
      </c>
      <c r="D60" t="s">
        <v>171</v>
      </c>
      <c r="E60" t="s">
        <v>1038</v>
      </c>
      <c r="F60" t="s">
        <v>231</v>
      </c>
      <c r="G60" s="59">
        <v>54.67</v>
      </c>
    </row>
    <row r="61" spans="1:7">
      <c r="A61" s="31">
        <v>46174</v>
      </c>
      <c r="B61" t="s">
        <v>161</v>
      </c>
      <c r="C61" t="b">
        <v>0</v>
      </c>
      <c r="D61" t="s">
        <v>171</v>
      </c>
      <c r="E61" t="s">
        <v>1039</v>
      </c>
      <c r="F61" t="s">
        <v>251</v>
      </c>
      <c r="G61" s="59">
        <v>69</v>
      </c>
    </row>
    <row r="62" spans="1:7">
      <c r="A62" s="31">
        <v>46174</v>
      </c>
      <c r="B62" t="s">
        <v>161</v>
      </c>
      <c r="C62" t="b">
        <v>0</v>
      </c>
      <c r="D62" t="s">
        <v>172</v>
      </c>
      <c r="E62" t="s">
        <v>1040</v>
      </c>
      <c r="F62" t="s">
        <v>325</v>
      </c>
      <c r="G62" s="59">
        <v>70</v>
      </c>
    </row>
    <row r="63" spans="1:7">
      <c r="A63" s="31">
        <v>46174</v>
      </c>
      <c r="B63" t="s">
        <v>161</v>
      </c>
      <c r="C63" t="b">
        <v>0</v>
      </c>
      <c r="D63" t="s">
        <v>172</v>
      </c>
      <c r="E63" t="s">
        <v>1041</v>
      </c>
      <c r="F63" t="s">
        <v>334</v>
      </c>
      <c r="G63" s="59">
        <v>52</v>
      </c>
    </row>
    <row r="64" spans="1:7">
      <c r="A64" s="31">
        <v>46174</v>
      </c>
      <c r="B64" t="s">
        <v>161</v>
      </c>
      <c r="C64" t="b">
        <v>0</v>
      </c>
      <c r="D64" t="s">
        <v>172</v>
      </c>
      <c r="E64" t="s">
        <v>1042</v>
      </c>
      <c r="F64" t="s">
        <v>477</v>
      </c>
      <c r="G64" s="59">
        <v>22</v>
      </c>
    </row>
    <row r="65" spans="1:7">
      <c r="A65" s="31">
        <v>46174</v>
      </c>
      <c r="B65" t="s">
        <v>161</v>
      </c>
      <c r="C65" t="b">
        <v>0</v>
      </c>
      <c r="D65" t="s">
        <v>173</v>
      </c>
      <c r="E65" t="s">
        <v>1043</v>
      </c>
      <c r="F65" t="s">
        <v>278</v>
      </c>
      <c r="G65" s="59">
        <v>29.33</v>
      </c>
    </row>
    <row r="66" spans="1:7">
      <c r="A66" s="31">
        <v>46174</v>
      </c>
      <c r="B66" t="s">
        <v>161</v>
      </c>
      <c r="C66" t="b">
        <v>0</v>
      </c>
      <c r="D66" t="s">
        <v>173</v>
      </c>
      <c r="E66" t="s">
        <v>1044</v>
      </c>
      <c r="F66" t="s">
        <v>241</v>
      </c>
      <c r="G66" s="59">
        <v>60</v>
      </c>
    </row>
    <row r="67" spans="1:7">
      <c r="A67" s="31">
        <v>46174</v>
      </c>
      <c r="B67" t="s">
        <v>161</v>
      </c>
      <c r="C67" t="b">
        <v>0</v>
      </c>
      <c r="D67" t="s">
        <v>173</v>
      </c>
      <c r="E67" t="s">
        <v>1045</v>
      </c>
      <c r="F67" t="s">
        <v>224</v>
      </c>
      <c r="G67" s="59">
        <v>57</v>
      </c>
    </row>
    <row r="68" spans="1:7">
      <c r="A68" s="31">
        <v>46174</v>
      </c>
      <c r="B68" t="s">
        <v>161</v>
      </c>
      <c r="C68" t="b">
        <v>0</v>
      </c>
      <c r="D68" t="s">
        <v>173</v>
      </c>
      <c r="E68" t="s">
        <v>1046</v>
      </c>
      <c r="F68" t="s">
        <v>273</v>
      </c>
      <c r="G68" s="59">
        <v>64</v>
      </c>
    </row>
    <row r="69" spans="1:7">
      <c r="A69" s="31">
        <v>46174</v>
      </c>
      <c r="B69" t="s">
        <v>161</v>
      </c>
      <c r="C69" t="b">
        <v>0</v>
      </c>
      <c r="D69" t="s">
        <v>173</v>
      </c>
      <c r="E69" t="s">
        <v>1047</v>
      </c>
      <c r="F69" t="s">
        <v>449</v>
      </c>
      <c r="G69" s="59">
        <v>58</v>
      </c>
    </row>
    <row r="70" spans="1:7">
      <c r="A70" s="31"/>
    </row>
    <row r="71" spans="1:7">
      <c r="A71" s="31"/>
    </row>
    <row r="72" spans="1:7">
      <c r="A72" s="31"/>
    </row>
    <row r="73" spans="1:7">
      <c r="A73" s="31"/>
    </row>
    <row r="74" spans="1:7">
      <c r="A74" s="31"/>
    </row>
    <row r="75" spans="1:7">
      <c r="A75" s="31"/>
    </row>
    <row r="76" spans="1:7">
      <c r="A76" s="31"/>
    </row>
    <row r="77" spans="1:7">
      <c r="A77" s="31"/>
    </row>
    <row r="78" spans="1:7">
      <c r="A78" s="31"/>
    </row>
    <row r="79" spans="1:7">
      <c r="A79" s="31"/>
    </row>
    <row r="80" spans="1:7">
      <c r="A80" s="31"/>
    </row>
  </sheetData>
  <autoFilter ref="A1:G1"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80"/>
  <sheetViews>
    <sheetView workbookViewId="0">
      <pane ySplit="1" topLeftCell="A126" activePane="bottomLeft" state="frozen"/>
      <selection pane="bottomLeft" activeCell="H20" sqref="H20"/>
    </sheetView>
  </sheetViews>
  <sheetFormatPr defaultColWidth="8.85546875" defaultRowHeight="15"/>
  <cols>
    <col min="1" max="1" width="12" customWidth="1"/>
    <col min="2" max="2" width="22" customWidth="1"/>
    <col min="3" max="3" width="11" customWidth="1"/>
    <col min="4" max="4" width="18" customWidth="1"/>
    <col min="5" max="5" width="44" customWidth="1"/>
    <col min="6" max="6" width="32" customWidth="1"/>
    <col min="7" max="7" width="38" customWidth="1"/>
    <col min="8" max="8" width="12" customWidth="1"/>
    <col min="10" max="10" width="22" customWidth="1"/>
    <col min="11" max="11" width="18" customWidth="1"/>
  </cols>
  <sheetData>
    <row r="1" spans="1:11">
      <c r="A1" s="21" t="s">
        <v>1049</v>
      </c>
      <c r="B1" s="21" t="s">
        <v>1050</v>
      </c>
      <c r="C1" s="21" t="s">
        <v>1051</v>
      </c>
      <c r="D1" s="21" t="s">
        <v>1068</v>
      </c>
      <c r="E1" s="21" t="s">
        <v>1069</v>
      </c>
      <c r="F1" s="21" t="s">
        <v>1052</v>
      </c>
      <c r="G1" s="21" t="s">
        <v>1054</v>
      </c>
      <c r="H1" s="21" t="s">
        <v>1055</v>
      </c>
      <c r="J1" s="21" t="s">
        <v>1079</v>
      </c>
    </row>
    <row r="2" spans="1:11">
      <c r="A2" s="31">
        <v>46174</v>
      </c>
      <c r="B2" t="s">
        <v>153</v>
      </c>
      <c r="C2" t="b">
        <v>1</v>
      </c>
      <c r="D2" t="s">
        <v>191</v>
      </c>
      <c r="E2" t="s">
        <v>192</v>
      </c>
      <c r="F2" t="s">
        <v>171</v>
      </c>
      <c r="G2" t="s">
        <v>194</v>
      </c>
      <c r="H2" s="59">
        <v>42</v>
      </c>
      <c r="J2" s="10" t="s">
        <v>1080</v>
      </c>
      <c r="K2" s="22">
        <f>SUMPRODUCT(1/COUNTIF(A2:A10000,A2:A10000&amp;""))-IF(COUNTBLANK(A2:A10000)&lt;10000,1,0)</f>
        <v>1.0000000000008624</v>
      </c>
    </row>
    <row r="3" spans="1:11">
      <c r="A3" s="31">
        <v>46174</v>
      </c>
      <c r="B3" t="s">
        <v>153</v>
      </c>
      <c r="C3" t="b">
        <v>1</v>
      </c>
      <c r="D3" t="s">
        <v>191</v>
      </c>
      <c r="E3" t="s">
        <v>199</v>
      </c>
      <c r="F3" t="s">
        <v>171</v>
      </c>
      <c r="G3" t="s">
        <v>194</v>
      </c>
      <c r="H3" s="59">
        <v>24</v>
      </c>
      <c r="J3" s="10" t="s">
        <v>1081</v>
      </c>
      <c r="K3" s="36">
        <f>IFERROR(MAX(A2:A10000),"(none)")</f>
        <v>46174</v>
      </c>
    </row>
    <row r="4" spans="1:11">
      <c r="A4" s="31">
        <v>46174</v>
      </c>
      <c r="B4" t="s">
        <v>153</v>
      </c>
      <c r="C4" t="b">
        <v>1</v>
      </c>
      <c r="D4" t="s">
        <v>191</v>
      </c>
      <c r="E4" t="s">
        <v>204</v>
      </c>
      <c r="F4" t="s">
        <v>171</v>
      </c>
      <c r="G4" t="s">
        <v>194</v>
      </c>
      <c r="H4" s="59">
        <v>84</v>
      </c>
      <c r="J4" s="10" t="s">
        <v>1082</v>
      </c>
      <c r="K4" s="22">
        <f>COUNTA(A:A)-1</f>
        <v>272</v>
      </c>
    </row>
    <row r="5" spans="1:11">
      <c r="A5" s="31">
        <v>46174</v>
      </c>
      <c r="B5" t="s">
        <v>153</v>
      </c>
      <c r="C5" t="b">
        <v>1</v>
      </c>
      <c r="D5" t="s">
        <v>191</v>
      </c>
      <c r="E5" t="s">
        <v>209</v>
      </c>
      <c r="F5" t="s">
        <v>171</v>
      </c>
      <c r="G5" t="s">
        <v>194</v>
      </c>
      <c r="H5" s="59">
        <v>86</v>
      </c>
    </row>
    <row r="6" spans="1:11">
      <c r="A6" s="31">
        <v>46174</v>
      </c>
      <c r="B6" t="s">
        <v>153</v>
      </c>
      <c r="C6" t="b">
        <v>1</v>
      </c>
      <c r="D6" t="s">
        <v>191</v>
      </c>
      <c r="E6" t="s">
        <v>214</v>
      </c>
      <c r="F6" t="s">
        <v>171</v>
      </c>
      <c r="G6" t="s">
        <v>194</v>
      </c>
      <c r="H6" s="59">
        <v>95</v>
      </c>
      <c r="J6" s="37" t="s">
        <v>1083</v>
      </c>
    </row>
    <row r="7" spans="1:11">
      <c r="A7" s="31">
        <v>46174</v>
      </c>
      <c r="B7" t="s">
        <v>153</v>
      </c>
      <c r="C7" t="b">
        <v>1</v>
      </c>
      <c r="D7" t="s">
        <v>191</v>
      </c>
      <c r="E7" t="s">
        <v>219</v>
      </c>
      <c r="F7" t="s">
        <v>171</v>
      </c>
      <c r="G7" t="s">
        <v>194</v>
      </c>
      <c r="H7" s="59">
        <v>22</v>
      </c>
      <c r="J7" s="37" t="s">
        <v>1084</v>
      </c>
    </row>
    <row r="8" spans="1:11">
      <c r="A8" s="31">
        <v>46174</v>
      </c>
      <c r="B8" t="s">
        <v>153</v>
      </c>
      <c r="C8" t="b">
        <v>1</v>
      </c>
      <c r="D8" t="s">
        <v>191</v>
      </c>
      <c r="E8" t="s">
        <v>223</v>
      </c>
      <c r="F8" t="s">
        <v>173</v>
      </c>
      <c r="G8" t="s">
        <v>224</v>
      </c>
      <c r="H8" s="59">
        <v>64</v>
      </c>
    </row>
    <row r="9" spans="1:11">
      <c r="A9" s="31">
        <v>46174</v>
      </c>
      <c r="B9" t="s">
        <v>153</v>
      </c>
      <c r="C9" t="b">
        <v>1</v>
      </c>
      <c r="D9" t="s">
        <v>191</v>
      </c>
      <c r="E9" t="s">
        <v>230</v>
      </c>
      <c r="F9" t="s">
        <v>171</v>
      </c>
      <c r="G9" t="s">
        <v>231</v>
      </c>
      <c r="H9" s="59">
        <v>68</v>
      </c>
    </row>
    <row r="10" spans="1:11">
      <c r="A10" s="31">
        <v>46174</v>
      </c>
      <c r="B10" t="s">
        <v>153</v>
      </c>
      <c r="C10" t="b">
        <v>1</v>
      </c>
      <c r="D10" t="s">
        <v>191</v>
      </c>
      <c r="E10" t="s">
        <v>236</v>
      </c>
      <c r="F10" t="s">
        <v>171</v>
      </c>
      <c r="G10" t="s">
        <v>231</v>
      </c>
    </row>
    <row r="11" spans="1:11">
      <c r="A11" s="31">
        <v>46174</v>
      </c>
      <c r="B11" t="s">
        <v>153</v>
      </c>
      <c r="C11" t="b">
        <v>1</v>
      </c>
      <c r="D11" t="s">
        <v>191</v>
      </c>
      <c r="E11" t="s">
        <v>240</v>
      </c>
      <c r="F11" t="s">
        <v>173</v>
      </c>
      <c r="G11" t="s">
        <v>241</v>
      </c>
      <c r="H11" s="59">
        <v>56</v>
      </c>
    </row>
    <row r="12" spans="1:11">
      <c r="A12" s="31">
        <v>46174</v>
      </c>
      <c r="B12" t="s">
        <v>153</v>
      </c>
      <c r="C12" t="b">
        <v>1</v>
      </c>
      <c r="D12" t="s">
        <v>191</v>
      </c>
      <c r="E12" t="s">
        <v>246</v>
      </c>
      <c r="F12" t="s">
        <v>171</v>
      </c>
      <c r="G12" t="s">
        <v>231</v>
      </c>
      <c r="H12" s="59">
        <v>54</v>
      </c>
    </row>
    <row r="13" spans="1:11">
      <c r="A13" s="31">
        <v>46174</v>
      </c>
      <c r="B13" t="s">
        <v>153</v>
      </c>
      <c r="C13" t="b">
        <v>1</v>
      </c>
      <c r="D13" t="s">
        <v>191</v>
      </c>
      <c r="E13" t="s">
        <v>250</v>
      </c>
      <c r="F13" t="s">
        <v>171</v>
      </c>
      <c r="G13" t="s">
        <v>251</v>
      </c>
      <c r="H13" s="59">
        <v>68</v>
      </c>
    </row>
    <row r="14" spans="1:11">
      <c r="A14" s="31">
        <v>46174</v>
      </c>
      <c r="B14" t="s">
        <v>153</v>
      </c>
      <c r="C14" t="b">
        <v>1</v>
      </c>
      <c r="D14" t="s">
        <v>191</v>
      </c>
      <c r="E14" t="s">
        <v>256</v>
      </c>
      <c r="F14" t="s">
        <v>173</v>
      </c>
      <c r="G14" t="s">
        <v>241</v>
      </c>
      <c r="H14" s="59">
        <v>66</v>
      </c>
    </row>
    <row r="15" spans="1:11">
      <c r="A15" s="31">
        <v>46174</v>
      </c>
      <c r="B15" t="s">
        <v>153</v>
      </c>
      <c r="C15" t="b">
        <v>1</v>
      </c>
      <c r="D15" t="s">
        <v>191</v>
      </c>
      <c r="E15" t="s">
        <v>261</v>
      </c>
      <c r="F15" t="s">
        <v>263</v>
      </c>
      <c r="G15" t="s">
        <v>263</v>
      </c>
    </row>
    <row r="16" spans="1:11">
      <c r="A16" s="31">
        <v>46174</v>
      </c>
      <c r="B16" t="s">
        <v>153</v>
      </c>
      <c r="C16" t="b">
        <v>1</v>
      </c>
      <c r="D16" t="s">
        <v>191</v>
      </c>
      <c r="E16" t="s">
        <v>267</v>
      </c>
      <c r="F16" t="s">
        <v>263</v>
      </c>
      <c r="G16" t="s">
        <v>263</v>
      </c>
    </row>
    <row r="17" spans="1:8">
      <c r="A17" s="31">
        <v>46174</v>
      </c>
      <c r="B17" t="s">
        <v>153</v>
      </c>
      <c r="C17" t="b">
        <v>1</v>
      </c>
      <c r="D17" t="s">
        <v>191</v>
      </c>
      <c r="E17" t="s">
        <v>272</v>
      </c>
      <c r="F17" t="s">
        <v>173</v>
      </c>
      <c r="G17" t="s">
        <v>273</v>
      </c>
      <c r="H17" s="59">
        <v>62</v>
      </c>
    </row>
    <row r="18" spans="1:8">
      <c r="A18" s="31">
        <v>46174</v>
      </c>
      <c r="B18" t="s">
        <v>153</v>
      </c>
      <c r="C18" t="b">
        <v>1</v>
      </c>
      <c r="D18" t="s">
        <v>191</v>
      </c>
      <c r="E18" t="s">
        <v>277</v>
      </c>
      <c r="F18" t="s">
        <v>173</v>
      </c>
      <c r="G18" t="s">
        <v>278</v>
      </c>
      <c r="H18" s="59">
        <v>54</v>
      </c>
    </row>
    <row r="19" spans="1:8">
      <c r="A19" s="31">
        <v>46174</v>
      </c>
      <c r="B19" t="s">
        <v>153</v>
      </c>
      <c r="C19" t="b">
        <v>1</v>
      </c>
      <c r="D19" t="s">
        <v>191</v>
      </c>
      <c r="E19" t="s">
        <v>283</v>
      </c>
      <c r="F19" t="s">
        <v>170</v>
      </c>
      <c r="G19" t="s">
        <v>284</v>
      </c>
      <c r="H19" s="59">
        <v>66</v>
      </c>
    </row>
    <row r="20" spans="1:8">
      <c r="A20" s="31">
        <v>46174</v>
      </c>
      <c r="B20" t="s">
        <v>153</v>
      </c>
      <c r="C20" t="b">
        <v>1</v>
      </c>
      <c r="D20" t="s">
        <v>191</v>
      </c>
      <c r="E20" t="s">
        <v>288</v>
      </c>
      <c r="F20" t="s">
        <v>170</v>
      </c>
      <c r="G20" t="s">
        <v>284</v>
      </c>
      <c r="H20" s="59">
        <v>60</v>
      </c>
    </row>
    <row r="21" spans="1:8">
      <c r="A21" s="31">
        <v>46174</v>
      </c>
      <c r="B21" t="s">
        <v>153</v>
      </c>
      <c r="C21" t="b">
        <v>1</v>
      </c>
      <c r="D21" t="s">
        <v>191</v>
      </c>
      <c r="E21" t="s">
        <v>292</v>
      </c>
      <c r="F21" t="s">
        <v>171</v>
      </c>
      <c r="G21" t="s">
        <v>194</v>
      </c>
      <c r="H21" s="59">
        <v>58</v>
      </c>
    </row>
    <row r="22" spans="1:8">
      <c r="A22" s="31">
        <v>46174</v>
      </c>
      <c r="B22" t="s">
        <v>153</v>
      </c>
      <c r="C22" t="b">
        <v>1</v>
      </c>
      <c r="D22" t="s">
        <v>191</v>
      </c>
      <c r="E22" t="s">
        <v>297</v>
      </c>
      <c r="F22" t="s">
        <v>171</v>
      </c>
      <c r="G22" t="s">
        <v>194</v>
      </c>
      <c r="H22" s="59">
        <v>48</v>
      </c>
    </row>
    <row r="23" spans="1:8">
      <c r="A23" s="31">
        <v>46174</v>
      </c>
      <c r="B23" t="s">
        <v>153</v>
      </c>
      <c r="C23" t="b">
        <v>1</v>
      </c>
      <c r="D23" t="s">
        <v>191</v>
      </c>
      <c r="E23" t="s">
        <v>302</v>
      </c>
      <c r="F23" t="s">
        <v>171</v>
      </c>
      <c r="G23" t="s">
        <v>194</v>
      </c>
      <c r="H23" s="59">
        <v>50</v>
      </c>
    </row>
    <row r="24" spans="1:8">
      <c r="A24" s="31">
        <v>46174</v>
      </c>
      <c r="B24" t="s">
        <v>153</v>
      </c>
      <c r="C24" t="b">
        <v>1</v>
      </c>
      <c r="D24" t="s">
        <v>191</v>
      </c>
      <c r="E24" t="s">
        <v>307</v>
      </c>
      <c r="F24" t="s">
        <v>173</v>
      </c>
      <c r="G24" t="s">
        <v>241</v>
      </c>
      <c r="H24" s="59">
        <v>56</v>
      </c>
    </row>
    <row r="25" spans="1:8">
      <c r="A25" s="31">
        <v>46174</v>
      </c>
      <c r="B25" t="s">
        <v>153</v>
      </c>
      <c r="C25" t="b">
        <v>1</v>
      </c>
      <c r="D25" t="s">
        <v>191</v>
      </c>
      <c r="E25" t="s">
        <v>312</v>
      </c>
      <c r="F25" t="s">
        <v>170</v>
      </c>
      <c r="G25" t="s">
        <v>313</v>
      </c>
      <c r="H25" s="59">
        <v>36</v>
      </c>
    </row>
    <row r="26" spans="1:8">
      <c r="A26" s="31">
        <v>46174</v>
      </c>
      <c r="B26" t="s">
        <v>153</v>
      </c>
      <c r="C26" t="b">
        <v>1</v>
      </c>
      <c r="D26" t="s">
        <v>191</v>
      </c>
      <c r="E26" t="s">
        <v>318</v>
      </c>
      <c r="F26" t="s">
        <v>171</v>
      </c>
      <c r="G26" t="s">
        <v>194</v>
      </c>
      <c r="H26" s="59">
        <v>45</v>
      </c>
    </row>
    <row r="27" spans="1:8">
      <c r="A27" s="31">
        <v>46174</v>
      </c>
      <c r="B27" t="s">
        <v>153</v>
      </c>
      <c r="C27" t="b">
        <v>1</v>
      </c>
      <c r="D27" t="s">
        <v>323</v>
      </c>
      <c r="E27" t="s">
        <v>324</v>
      </c>
      <c r="F27" t="s">
        <v>172</v>
      </c>
      <c r="G27" t="s">
        <v>325</v>
      </c>
      <c r="H27" s="59">
        <v>58</v>
      </c>
    </row>
    <row r="28" spans="1:8">
      <c r="A28" s="31">
        <v>46174</v>
      </c>
      <c r="B28" t="s">
        <v>153</v>
      </c>
      <c r="C28" t="b">
        <v>1</v>
      </c>
      <c r="D28" t="s">
        <v>323</v>
      </c>
      <c r="E28" t="s">
        <v>329</v>
      </c>
      <c r="F28" t="s">
        <v>171</v>
      </c>
      <c r="G28" t="s">
        <v>330</v>
      </c>
      <c r="H28" s="59">
        <v>52</v>
      </c>
    </row>
    <row r="29" spans="1:8">
      <c r="A29" s="31">
        <v>46174</v>
      </c>
      <c r="B29" t="s">
        <v>153</v>
      </c>
      <c r="C29" t="b">
        <v>1</v>
      </c>
      <c r="D29" t="s">
        <v>323</v>
      </c>
      <c r="E29" t="s">
        <v>333</v>
      </c>
      <c r="F29" t="s">
        <v>172</v>
      </c>
      <c r="G29" t="s">
        <v>334</v>
      </c>
      <c r="H29" s="59">
        <v>54</v>
      </c>
    </row>
    <row r="30" spans="1:8">
      <c r="A30" s="31">
        <v>46174</v>
      </c>
      <c r="B30" t="s">
        <v>153</v>
      </c>
      <c r="C30" t="b">
        <v>1</v>
      </c>
      <c r="D30" t="s">
        <v>323</v>
      </c>
      <c r="E30" t="s">
        <v>339</v>
      </c>
      <c r="F30" t="s">
        <v>172</v>
      </c>
      <c r="G30" t="s">
        <v>325</v>
      </c>
    </row>
    <row r="31" spans="1:8">
      <c r="A31" s="31">
        <v>46174</v>
      </c>
      <c r="B31" t="s">
        <v>153</v>
      </c>
      <c r="C31" t="b">
        <v>1</v>
      </c>
      <c r="D31" t="s">
        <v>323</v>
      </c>
      <c r="E31" t="s">
        <v>343</v>
      </c>
      <c r="F31" t="s">
        <v>171</v>
      </c>
      <c r="G31" t="s">
        <v>330</v>
      </c>
      <c r="H31" s="59">
        <v>64</v>
      </c>
    </row>
    <row r="32" spans="1:8">
      <c r="A32" s="31">
        <v>46174</v>
      </c>
      <c r="B32" t="s">
        <v>153</v>
      </c>
      <c r="C32" t="b">
        <v>1</v>
      </c>
      <c r="D32" t="s">
        <v>323</v>
      </c>
      <c r="E32" t="s">
        <v>347</v>
      </c>
      <c r="F32" t="s">
        <v>170</v>
      </c>
      <c r="G32" t="s">
        <v>284</v>
      </c>
      <c r="H32" s="59">
        <v>62</v>
      </c>
    </row>
    <row r="33" spans="1:8">
      <c r="A33" s="31">
        <v>46174</v>
      </c>
      <c r="B33" t="s">
        <v>153</v>
      </c>
      <c r="C33" t="b">
        <v>1</v>
      </c>
      <c r="D33" t="s">
        <v>323</v>
      </c>
      <c r="E33" t="s">
        <v>352</v>
      </c>
      <c r="F33" t="s">
        <v>170</v>
      </c>
      <c r="G33" t="s">
        <v>353</v>
      </c>
      <c r="H33" s="59">
        <v>62</v>
      </c>
    </row>
    <row r="34" spans="1:8">
      <c r="A34" s="31">
        <v>46174</v>
      </c>
      <c r="B34" t="s">
        <v>153</v>
      </c>
      <c r="C34" t="b">
        <v>1</v>
      </c>
      <c r="D34" t="s">
        <v>323</v>
      </c>
      <c r="E34" t="s">
        <v>358</v>
      </c>
      <c r="F34" t="s">
        <v>170</v>
      </c>
      <c r="G34" t="s">
        <v>284</v>
      </c>
      <c r="H34" s="59">
        <v>48</v>
      </c>
    </row>
    <row r="35" spans="1:8">
      <c r="A35" s="31">
        <v>46174</v>
      </c>
      <c r="B35" t="s">
        <v>153</v>
      </c>
      <c r="C35" t="b">
        <v>1</v>
      </c>
      <c r="D35" t="s">
        <v>323</v>
      </c>
      <c r="E35" t="s">
        <v>363</v>
      </c>
      <c r="F35" t="s">
        <v>170</v>
      </c>
      <c r="G35" t="s">
        <v>364</v>
      </c>
      <c r="H35" s="59">
        <v>50</v>
      </c>
    </row>
    <row r="36" spans="1:8">
      <c r="A36" s="31">
        <v>46174</v>
      </c>
      <c r="B36" t="s">
        <v>153</v>
      </c>
      <c r="C36" t="b">
        <v>1</v>
      </c>
      <c r="D36" t="s">
        <v>323</v>
      </c>
      <c r="E36" t="s">
        <v>369</v>
      </c>
      <c r="F36" t="s">
        <v>170</v>
      </c>
      <c r="G36" t="s">
        <v>313</v>
      </c>
      <c r="H36" s="59">
        <v>60</v>
      </c>
    </row>
    <row r="37" spans="1:8">
      <c r="A37" s="31">
        <v>46174</v>
      </c>
      <c r="B37" t="s">
        <v>153</v>
      </c>
      <c r="C37" t="b">
        <v>1</v>
      </c>
      <c r="D37" t="s">
        <v>323</v>
      </c>
      <c r="E37" t="s">
        <v>372</v>
      </c>
      <c r="F37" t="s">
        <v>170</v>
      </c>
      <c r="G37" t="s">
        <v>284</v>
      </c>
      <c r="H37" s="59">
        <v>49</v>
      </c>
    </row>
    <row r="38" spans="1:8">
      <c r="A38" s="31">
        <v>46174</v>
      </c>
      <c r="B38" t="s">
        <v>153</v>
      </c>
      <c r="C38" t="b">
        <v>1</v>
      </c>
      <c r="D38" t="s">
        <v>323</v>
      </c>
      <c r="E38" t="s">
        <v>377</v>
      </c>
      <c r="F38" t="s">
        <v>170</v>
      </c>
      <c r="G38" t="s">
        <v>284</v>
      </c>
      <c r="H38" s="59">
        <v>48</v>
      </c>
    </row>
    <row r="39" spans="1:8">
      <c r="A39" s="31">
        <v>46174</v>
      </c>
      <c r="B39" t="s">
        <v>153</v>
      </c>
      <c r="C39" t="b">
        <v>1</v>
      </c>
      <c r="D39" t="s">
        <v>323</v>
      </c>
      <c r="E39" t="s">
        <v>381</v>
      </c>
      <c r="F39" t="s">
        <v>170</v>
      </c>
      <c r="G39" t="s">
        <v>364</v>
      </c>
      <c r="H39" s="59">
        <v>50</v>
      </c>
    </row>
    <row r="40" spans="1:8">
      <c r="A40" s="31">
        <v>46174</v>
      </c>
      <c r="B40" t="s">
        <v>153</v>
      </c>
      <c r="C40" t="b">
        <v>1</v>
      </c>
      <c r="D40" t="s">
        <v>323</v>
      </c>
      <c r="E40" t="s">
        <v>384</v>
      </c>
      <c r="F40" t="s">
        <v>170</v>
      </c>
      <c r="G40" t="s">
        <v>313</v>
      </c>
      <c r="H40" s="59">
        <v>52</v>
      </c>
    </row>
    <row r="41" spans="1:8">
      <c r="A41" s="31">
        <v>46174</v>
      </c>
      <c r="B41" t="s">
        <v>153</v>
      </c>
      <c r="C41" t="b">
        <v>1</v>
      </c>
      <c r="D41" t="s">
        <v>323</v>
      </c>
      <c r="E41" t="s">
        <v>388</v>
      </c>
      <c r="F41" t="s">
        <v>170</v>
      </c>
      <c r="G41" t="s">
        <v>389</v>
      </c>
      <c r="H41" s="59">
        <v>48</v>
      </c>
    </row>
    <row r="42" spans="1:8">
      <c r="A42" s="31">
        <v>46174</v>
      </c>
      <c r="B42" t="s">
        <v>153</v>
      </c>
      <c r="C42" t="b">
        <v>1</v>
      </c>
      <c r="D42" t="s">
        <v>323</v>
      </c>
      <c r="E42" t="s">
        <v>393</v>
      </c>
      <c r="F42" t="s">
        <v>171</v>
      </c>
      <c r="G42" t="s">
        <v>251</v>
      </c>
      <c r="H42" s="59">
        <v>38</v>
      </c>
    </row>
    <row r="43" spans="1:8">
      <c r="A43" s="31">
        <v>46174</v>
      </c>
      <c r="B43" t="s">
        <v>153</v>
      </c>
      <c r="C43" t="b">
        <v>1</v>
      </c>
      <c r="D43" t="s">
        <v>323</v>
      </c>
      <c r="E43" t="s">
        <v>398</v>
      </c>
      <c r="F43" t="s">
        <v>170</v>
      </c>
      <c r="G43" t="s">
        <v>364</v>
      </c>
      <c r="H43" s="59">
        <v>55</v>
      </c>
    </row>
    <row r="44" spans="1:8">
      <c r="A44" s="31">
        <v>46174</v>
      </c>
      <c r="B44" t="s">
        <v>153</v>
      </c>
      <c r="C44" t="b">
        <v>1</v>
      </c>
      <c r="D44" t="s">
        <v>323</v>
      </c>
      <c r="E44" t="s">
        <v>403</v>
      </c>
      <c r="F44" t="s">
        <v>172</v>
      </c>
      <c r="G44" t="s">
        <v>325</v>
      </c>
      <c r="H44" s="59">
        <v>50</v>
      </c>
    </row>
    <row r="45" spans="1:8">
      <c r="A45" s="31">
        <v>46174</v>
      </c>
      <c r="B45" t="s">
        <v>153</v>
      </c>
      <c r="C45" t="b">
        <v>1</v>
      </c>
      <c r="D45" t="s">
        <v>323</v>
      </c>
      <c r="E45" t="s">
        <v>407</v>
      </c>
      <c r="F45" t="s">
        <v>170</v>
      </c>
      <c r="G45" t="s">
        <v>389</v>
      </c>
    </row>
    <row r="46" spans="1:8">
      <c r="A46" s="31">
        <v>46174</v>
      </c>
      <c r="B46" t="s">
        <v>153</v>
      </c>
      <c r="C46" t="b">
        <v>1</v>
      </c>
      <c r="D46" t="s">
        <v>323</v>
      </c>
      <c r="E46" t="s">
        <v>411</v>
      </c>
      <c r="F46" t="s">
        <v>170</v>
      </c>
      <c r="G46" t="s">
        <v>389</v>
      </c>
      <c r="H46" s="59">
        <v>52</v>
      </c>
    </row>
    <row r="47" spans="1:8">
      <c r="A47" s="31">
        <v>46174</v>
      </c>
      <c r="B47" t="s">
        <v>153</v>
      </c>
      <c r="C47" t="b">
        <v>1</v>
      </c>
      <c r="D47" t="s">
        <v>416</v>
      </c>
      <c r="E47" t="s">
        <v>417</v>
      </c>
      <c r="F47" t="s">
        <v>173</v>
      </c>
      <c r="G47" t="s">
        <v>224</v>
      </c>
      <c r="H47" s="59">
        <v>44</v>
      </c>
    </row>
    <row r="48" spans="1:8">
      <c r="A48" s="31">
        <v>46174</v>
      </c>
      <c r="B48" t="s">
        <v>153</v>
      </c>
      <c r="C48" t="b">
        <v>1</v>
      </c>
      <c r="D48" t="s">
        <v>416</v>
      </c>
      <c r="E48" t="s">
        <v>422</v>
      </c>
      <c r="F48" t="s">
        <v>263</v>
      </c>
      <c r="G48" t="s">
        <v>263</v>
      </c>
    </row>
    <row r="49" spans="1:8">
      <c r="A49" s="31">
        <v>46174</v>
      </c>
      <c r="B49" t="s">
        <v>153</v>
      </c>
      <c r="C49" t="b">
        <v>1</v>
      </c>
      <c r="D49" t="s">
        <v>416</v>
      </c>
      <c r="E49" t="s">
        <v>426</v>
      </c>
      <c r="F49" t="s">
        <v>263</v>
      </c>
      <c r="G49" t="s">
        <v>263</v>
      </c>
    </row>
    <row r="50" spans="1:8">
      <c r="A50" s="31">
        <v>46174</v>
      </c>
      <c r="B50" t="s">
        <v>153</v>
      </c>
      <c r="C50" t="b">
        <v>1</v>
      </c>
      <c r="D50" t="s">
        <v>416</v>
      </c>
      <c r="E50" t="s">
        <v>429</v>
      </c>
      <c r="F50" t="s">
        <v>263</v>
      </c>
      <c r="G50" t="s">
        <v>263</v>
      </c>
    </row>
    <row r="51" spans="1:8">
      <c r="A51" s="31">
        <v>46174</v>
      </c>
      <c r="B51" t="s">
        <v>153</v>
      </c>
      <c r="C51" t="b">
        <v>1</v>
      </c>
      <c r="D51" t="s">
        <v>416</v>
      </c>
      <c r="E51" t="s">
        <v>432</v>
      </c>
      <c r="F51" t="s">
        <v>263</v>
      </c>
      <c r="G51" t="s">
        <v>263</v>
      </c>
    </row>
    <row r="52" spans="1:8">
      <c r="A52" s="31">
        <v>46174</v>
      </c>
      <c r="B52" t="s">
        <v>153</v>
      </c>
      <c r="C52" t="b">
        <v>1</v>
      </c>
      <c r="D52" t="s">
        <v>416</v>
      </c>
      <c r="E52" t="s">
        <v>436</v>
      </c>
      <c r="F52" t="s">
        <v>263</v>
      </c>
      <c r="G52" t="s">
        <v>263</v>
      </c>
    </row>
    <row r="53" spans="1:8">
      <c r="A53" s="31">
        <v>46174</v>
      </c>
      <c r="B53" t="s">
        <v>153</v>
      </c>
      <c r="C53" t="b">
        <v>1</v>
      </c>
      <c r="D53" t="s">
        <v>416</v>
      </c>
      <c r="E53" t="s">
        <v>439</v>
      </c>
      <c r="F53" t="s">
        <v>263</v>
      </c>
      <c r="G53" t="s">
        <v>263</v>
      </c>
    </row>
    <row r="54" spans="1:8">
      <c r="A54" s="31">
        <v>46174</v>
      </c>
      <c r="B54" t="s">
        <v>153</v>
      </c>
      <c r="C54" t="b">
        <v>1</v>
      </c>
      <c r="D54" t="s">
        <v>416</v>
      </c>
      <c r="E54" t="s">
        <v>442</v>
      </c>
      <c r="F54" t="s">
        <v>263</v>
      </c>
      <c r="G54" t="s">
        <v>263</v>
      </c>
    </row>
    <row r="55" spans="1:8">
      <c r="A55" s="31">
        <v>46174</v>
      </c>
      <c r="B55" t="s">
        <v>153</v>
      </c>
      <c r="C55" t="b">
        <v>1</v>
      </c>
      <c r="D55" t="s">
        <v>416</v>
      </c>
      <c r="E55" t="s">
        <v>445</v>
      </c>
      <c r="F55" t="s">
        <v>263</v>
      </c>
      <c r="G55" t="s">
        <v>263</v>
      </c>
    </row>
    <row r="56" spans="1:8">
      <c r="A56" s="31">
        <v>46174</v>
      </c>
      <c r="B56" t="s">
        <v>153</v>
      </c>
      <c r="C56" t="b">
        <v>1</v>
      </c>
      <c r="D56" t="s">
        <v>416</v>
      </c>
      <c r="E56" t="s">
        <v>448</v>
      </c>
      <c r="F56" t="s">
        <v>173</v>
      </c>
      <c r="G56" t="s">
        <v>449</v>
      </c>
    </row>
    <row r="57" spans="1:8">
      <c r="A57" s="31">
        <v>46174</v>
      </c>
      <c r="B57" t="s">
        <v>153</v>
      </c>
      <c r="C57" t="b">
        <v>1</v>
      </c>
      <c r="D57" t="s">
        <v>416</v>
      </c>
      <c r="E57" t="s">
        <v>452</v>
      </c>
      <c r="F57" t="s">
        <v>173</v>
      </c>
      <c r="G57" t="s">
        <v>449</v>
      </c>
      <c r="H57" s="59">
        <v>46</v>
      </c>
    </row>
    <row r="58" spans="1:8">
      <c r="A58" s="31">
        <v>46174</v>
      </c>
      <c r="B58" t="s">
        <v>153</v>
      </c>
      <c r="C58" t="b">
        <v>1</v>
      </c>
      <c r="D58" t="s">
        <v>457</v>
      </c>
      <c r="E58" t="s">
        <v>458</v>
      </c>
      <c r="F58" t="s">
        <v>170</v>
      </c>
      <c r="G58" t="s">
        <v>353</v>
      </c>
      <c r="H58" s="59">
        <v>62</v>
      </c>
    </row>
    <row r="59" spans="1:8">
      <c r="A59" s="31">
        <v>46174</v>
      </c>
      <c r="B59" t="s">
        <v>153</v>
      </c>
      <c r="C59" t="b">
        <v>1</v>
      </c>
      <c r="D59" t="s">
        <v>457</v>
      </c>
      <c r="E59" t="s">
        <v>462</v>
      </c>
      <c r="F59" t="s">
        <v>263</v>
      </c>
      <c r="G59" t="s">
        <v>263</v>
      </c>
    </row>
    <row r="60" spans="1:8">
      <c r="A60" s="31">
        <v>46174</v>
      </c>
      <c r="B60" t="s">
        <v>153</v>
      </c>
      <c r="C60" t="b">
        <v>1</v>
      </c>
      <c r="D60" t="s">
        <v>457</v>
      </c>
      <c r="E60" t="s">
        <v>465</v>
      </c>
      <c r="F60" t="s">
        <v>173</v>
      </c>
      <c r="G60" t="s">
        <v>278</v>
      </c>
      <c r="H60" s="59">
        <v>30</v>
      </c>
    </row>
    <row r="61" spans="1:8">
      <c r="A61" s="31">
        <v>46174</v>
      </c>
      <c r="B61" t="s">
        <v>153</v>
      </c>
      <c r="C61" t="b">
        <v>1</v>
      </c>
      <c r="D61" t="s">
        <v>457</v>
      </c>
      <c r="E61" t="s">
        <v>469</v>
      </c>
      <c r="F61" t="s">
        <v>173</v>
      </c>
      <c r="G61" t="s">
        <v>278</v>
      </c>
      <c r="H61" s="59">
        <v>24</v>
      </c>
    </row>
    <row r="62" spans="1:8">
      <c r="A62" s="31">
        <v>46174</v>
      </c>
      <c r="B62" t="s">
        <v>153</v>
      </c>
      <c r="C62" t="b">
        <v>1</v>
      </c>
      <c r="D62" t="s">
        <v>457</v>
      </c>
      <c r="E62" t="s">
        <v>473</v>
      </c>
      <c r="F62" t="s">
        <v>172</v>
      </c>
      <c r="G62" t="s">
        <v>334</v>
      </c>
      <c r="H62" s="59">
        <v>34</v>
      </c>
    </row>
    <row r="63" spans="1:8">
      <c r="A63" s="31">
        <v>46174</v>
      </c>
      <c r="B63" t="s">
        <v>153</v>
      </c>
      <c r="C63" t="b">
        <v>1</v>
      </c>
      <c r="D63" t="s">
        <v>457</v>
      </c>
      <c r="E63" t="s">
        <v>476</v>
      </c>
      <c r="F63" t="s">
        <v>172</v>
      </c>
      <c r="G63" t="s">
        <v>477</v>
      </c>
      <c r="H63" s="59">
        <v>20</v>
      </c>
    </row>
    <row r="64" spans="1:8">
      <c r="A64" s="31">
        <v>46174</v>
      </c>
      <c r="B64" t="s">
        <v>153</v>
      </c>
      <c r="C64" t="b">
        <v>1</v>
      </c>
      <c r="D64" t="s">
        <v>457</v>
      </c>
      <c r="E64" t="s">
        <v>480</v>
      </c>
      <c r="F64" t="s">
        <v>173</v>
      </c>
      <c r="G64" t="s">
        <v>278</v>
      </c>
      <c r="H64" s="59">
        <v>28</v>
      </c>
    </row>
    <row r="65" spans="1:8">
      <c r="A65" s="31">
        <v>46174</v>
      </c>
      <c r="B65" t="s">
        <v>153</v>
      </c>
      <c r="C65" t="b">
        <v>1</v>
      </c>
      <c r="D65" t="s">
        <v>457</v>
      </c>
      <c r="E65" t="s">
        <v>484</v>
      </c>
      <c r="F65" t="s">
        <v>173</v>
      </c>
      <c r="G65" t="s">
        <v>278</v>
      </c>
      <c r="H65" s="59">
        <v>30</v>
      </c>
    </row>
    <row r="66" spans="1:8">
      <c r="A66" s="31">
        <v>46174</v>
      </c>
      <c r="B66" t="s">
        <v>153</v>
      </c>
      <c r="C66" t="b">
        <v>1</v>
      </c>
      <c r="D66" t="s">
        <v>457</v>
      </c>
      <c r="E66" t="s">
        <v>487</v>
      </c>
      <c r="F66" t="s">
        <v>173</v>
      </c>
      <c r="G66" t="s">
        <v>278</v>
      </c>
      <c r="H66" s="59">
        <v>0</v>
      </c>
    </row>
    <row r="67" spans="1:8">
      <c r="A67" s="31">
        <v>46174</v>
      </c>
      <c r="B67" t="s">
        <v>153</v>
      </c>
      <c r="C67" t="b">
        <v>1</v>
      </c>
      <c r="D67" t="s">
        <v>492</v>
      </c>
      <c r="E67" t="s">
        <v>493</v>
      </c>
      <c r="F67" t="s">
        <v>171</v>
      </c>
      <c r="G67" t="s">
        <v>231</v>
      </c>
      <c r="H67" s="59">
        <v>58</v>
      </c>
    </row>
    <row r="68" spans="1:8">
      <c r="A68" s="31">
        <v>46174</v>
      </c>
      <c r="B68" t="s">
        <v>153</v>
      </c>
      <c r="C68" t="b">
        <v>1</v>
      </c>
      <c r="D68" t="s">
        <v>492</v>
      </c>
      <c r="E68" t="s">
        <v>498</v>
      </c>
      <c r="F68" t="s">
        <v>170</v>
      </c>
      <c r="G68" t="s">
        <v>313</v>
      </c>
      <c r="H68" s="59">
        <v>60</v>
      </c>
    </row>
    <row r="69" spans="1:8">
      <c r="A69" s="31">
        <v>46174</v>
      </c>
      <c r="B69" t="s">
        <v>153</v>
      </c>
      <c r="C69" t="b">
        <v>1</v>
      </c>
      <c r="D69" t="s">
        <v>492</v>
      </c>
      <c r="E69" t="s">
        <v>501</v>
      </c>
      <c r="F69" t="s">
        <v>170</v>
      </c>
      <c r="G69" t="s">
        <v>313</v>
      </c>
      <c r="H69" s="59">
        <v>42</v>
      </c>
    </row>
    <row r="70" spans="1:8">
      <c r="A70" s="31">
        <v>46174</v>
      </c>
      <c r="B70" t="s">
        <v>156</v>
      </c>
      <c r="C70" t="b">
        <v>0</v>
      </c>
      <c r="D70" t="s">
        <v>191</v>
      </c>
      <c r="E70" t="s">
        <v>192</v>
      </c>
      <c r="F70" t="s">
        <v>171</v>
      </c>
      <c r="G70" t="s">
        <v>194</v>
      </c>
      <c r="H70" s="59">
        <v>88</v>
      </c>
    </row>
    <row r="71" spans="1:8">
      <c r="A71" s="31">
        <v>46174</v>
      </c>
      <c r="B71" t="s">
        <v>156</v>
      </c>
      <c r="C71" t="b">
        <v>0</v>
      </c>
      <c r="D71" t="s">
        <v>191</v>
      </c>
      <c r="E71" t="s">
        <v>199</v>
      </c>
      <c r="F71" t="s">
        <v>171</v>
      </c>
      <c r="G71" t="s">
        <v>194</v>
      </c>
      <c r="H71" s="59">
        <v>58</v>
      </c>
    </row>
    <row r="72" spans="1:8">
      <c r="A72" s="31">
        <v>46174</v>
      </c>
      <c r="B72" t="s">
        <v>156</v>
      </c>
      <c r="C72" t="b">
        <v>0</v>
      </c>
      <c r="D72" t="s">
        <v>191</v>
      </c>
      <c r="E72" t="s">
        <v>204</v>
      </c>
      <c r="F72" t="s">
        <v>171</v>
      </c>
      <c r="G72" t="s">
        <v>194</v>
      </c>
      <c r="H72" s="59">
        <v>88</v>
      </c>
    </row>
    <row r="73" spans="1:8">
      <c r="A73" s="31">
        <v>46174</v>
      </c>
      <c r="B73" t="s">
        <v>156</v>
      </c>
      <c r="C73" t="b">
        <v>0</v>
      </c>
      <c r="D73" t="s">
        <v>191</v>
      </c>
      <c r="E73" t="s">
        <v>209</v>
      </c>
      <c r="F73" t="s">
        <v>171</v>
      </c>
      <c r="G73" t="s">
        <v>194</v>
      </c>
      <c r="H73" s="59">
        <v>72</v>
      </c>
    </row>
    <row r="74" spans="1:8">
      <c r="A74" s="31">
        <v>46174</v>
      </c>
      <c r="B74" t="s">
        <v>156</v>
      </c>
      <c r="C74" t="b">
        <v>0</v>
      </c>
      <c r="D74" t="s">
        <v>191</v>
      </c>
      <c r="E74" t="s">
        <v>214</v>
      </c>
      <c r="F74" t="s">
        <v>171</v>
      </c>
      <c r="G74" t="s">
        <v>194</v>
      </c>
      <c r="H74" s="59">
        <v>76</v>
      </c>
    </row>
    <row r="75" spans="1:8">
      <c r="A75" s="31">
        <v>46174</v>
      </c>
      <c r="B75" t="s">
        <v>156</v>
      </c>
      <c r="C75" t="b">
        <v>0</v>
      </c>
      <c r="D75" t="s">
        <v>191</v>
      </c>
      <c r="E75" t="s">
        <v>219</v>
      </c>
      <c r="F75" t="s">
        <v>171</v>
      </c>
      <c r="G75" t="s">
        <v>194</v>
      </c>
      <c r="H75" s="59">
        <v>94</v>
      </c>
    </row>
    <row r="76" spans="1:8">
      <c r="A76" s="31">
        <v>46174</v>
      </c>
      <c r="B76" t="s">
        <v>156</v>
      </c>
      <c r="C76" t="b">
        <v>0</v>
      </c>
      <c r="D76" t="s">
        <v>191</v>
      </c>
      <c r="E76" t="s">
        <v>223</v>
      </c>
      <c r="F76" t="s">
        <v>173</v>
      </c>
      <c r="G76" t="s">
        <v>224</v>
      </c>
      <c r="H76" s="59">
        <v>70</v>
      </c>
    </row>
    <row r="77" spans="1:8">
      <c r="A77" s="31">
        <v>46174</v>
      </c>
      <c r="B77" t="s">
        <v>156</v>
      </c>
      <c r="C77" t="b">
        <v>0</v>
      </c>
      <c r="D77" t="s">
        <v>191</v>
      </c>
      <c r="E77" t="s">
        <v>230</v>
      </c>
      <c r="F77" t="s">
        <v>171</v>
      </c>
      <c r="G77" t="s">
        <v>231</v>
      </c>
      <c r="H77" s="59">
        <v>74</v>
      </c>
    </row>
    <row r="78" spans="1:8">
      <c r="A78" s="31">
        <v>46174</v>
      </c>
      <c r="B78" t="s">
        <v>156</v>
      </c>
      <c r="C78" t="b">
        <v>0</v>
      </c>
      <c r="D78" t="s">
        <v>191</v>
      </c>
      <c r="E78" t="s">
        <v>236</v>
      </c>
      <c r="F78" t="s">
        <v>171</v>
      </c>
      <c r="G78" t="s">
        <v>231</v>
      </c>
    </row>
    <row r="79" spans="1:8">
      <c r="A79" s="31">
        <v>46174</v>
      </c>
      <c r="B79" t="s">
        <v>156</v>
      </c>
      <c r="C79" t="b">
        <v>0</v>
      </c>
      <c r="D79" t="s">
        <v>191</v>
      </c>
      <c r="E79" t="s">
        <v>240</v>
      </c>
      <c r="F79" t="s">
        <v>173</v>
      </c>
      <c r="G79" t="s">
        <v>241</v>
      </c>
      <c r="H79" s="59">
        <v>72</v>
      </c>
    </row>
    <row r="80" spans="1:8">
      <c r="A80" s="31">
        <v>46174</v>
      </c>
      <c r="B80" t="s">
        <v>156</v>
      </c>
      <c r="C80" t="b">
        <v>0</v>
      </c>
      <c r="D80" t="s">
        <v>191</v>
      </c>
      <c r="E80" t="s">
        <v>246</v>
      </c>
      <c r="F80" t="s">
        <v>171</v>
      </c>
      <c r="G80" t="s">
        <v>231</v>
      </c>
      <c r="H80" s="59">
        <v>64</v>
      </c>
    </row>
    <row r="81" spans="1:8">
      <c r="A81" s="31">
        <v>46174</v>
      </c>
      <c r="B81" t="s">
        <v>156</v>
      </c>
      <c r="C81" t="b">
        <v>0</v>
      </c>
      <c r="D81" t="s">
        <v>191</v>
      </c>
      <c r="E81" t="s">
        <v>250</v>
      </c>
      <c r="F81" t="s">
        <v>171</v>
      </c>
      <c r="G81" t="s">
        <v>251</v>
      </c>
      <c r="H81" s="59">
        <v>66</v>
      </c>
    </row>
    <row r="82" spans="1:8">
      <c r="A82" s="31">
        <v>46174</v>
      </c>
      <c r="B82" t="s">
        <v>156</v>
      </c>
      <c r="C82" t="b">
        <v>0</v>
      </c>
      <c r="D82" t="s">
        <v>191</v>
      </c>
      <c r="E82" t="s">
        <v>256</v>
      </c>
      <c r="F82" t="s">
        <v>173</v>
      </c>
      <c r="G82" t="s">
        <v>241</v>
      </c>
      <c r="H82" s="59">
        <v>74</v>
      </c>
    </row>
    <row r="83" spans="1:8">
      <c r="A83" s="31">
        <v>46174</v>
      </c>
      <c r="B83" t="s">
        <v>156</v>
      </c>
      <c r="C83" t="b">
        <v>0</v>
      </c>
      <c r="D83" t="s">
        <v>191</v>
      </c>
      <c r="E83" t="s">
        <v>261</v>
      </c>
      <c r="F83" t="s">
        <v>263</v>
      </c>
      <c r="G83" t="s">
        <v>263</v>
      </c>
    </row>
    <row r="84" spans="1:8">
      <c r="A84" s="31">
        <v>46174</v>
      </c>
      <c r="B84" t="s">
        <v>156</v>
      </c>
      <c r="C84" t="b">
        <v>0</v>
      </c>
      <c r="D84" t="s">
        <v>191</v>
      </c>
      <c r="E84" t="s">
        <v>267</v>
      </c>
      <c r="F84" t="s">
        <v>263</v>
      </c>
      <c r="G84" t="s">
        <v>263</v>
      </c>
    </row>
    <row r="85" spans="1:8">
      <c r="A85" s="31">
        <v>46174</v>
      </c>
      <c r="B85" t="s">
        <v>156</v>
      </c>
      <c r="C85" t="b">
        <v>0</v>
      </c>
      <c r="D85" t="s">
        <v>191</v>
      </c>
      <c r="E85" t="s">
        <v>272</v>
      </c>
      <c r="F85" t="s">
        <v>173</v>
      </c>
      <c r="G85" t="s">
        <v>273</v>
      </c>
      <c r="H85" s="59">
        <v>60</v>
      </c>
    </row>
    <row r="86" spans="1:8">
      <c r="A86" s="31">
        <v>46174</v>
      </c>
      <c r="B86" t="s">
        <v>156</v>
      </c>
      <c r="C86" t="b">
        <v>0</v>
      </c>
      <c r="D86" t="s">
        <v>191</v>
      </c>
      <c r="E86" t="s">
        <v>277</v>
      </c>
      <c r="F86" t="s">
        <v>173</v>
      </c>
      <c r="G86" t="s">
        <v>278</v>
      </c>
      <c r="H86" s="59">
        <v>58</v>
      </c>
    </row>
    <row r="87" spans="1:8">
      <c r="A87" s="31">
        <v>46174</v>
      </c>
      <c r="B87" t="s">
        <v>156</v>
      </c>
      <c r="C87" t="b">
        <v>0</v>
      </c>
      <c r="D87" t="s">
        <v>191</v>
      </c>
      <c r="E87" t="s">
        <v>283</v>
      </c>
      <c r="F87" t="s">
        <v>170</v>
      </c>
      <c r="G87" t="s">
        <v>284</v>
      </c>
      <c r="H87" s="59">
        <v>74</v>
      </c>
    </row>
    <row r="88" spans="1:8">
      <c r="A88" s="31">
        <v>46174</v>
      </c>
      <c r="B88" t="s">
        <v>156</v>
      </c>
      <c r="C88" t="b">
        <v>0</v>
      </c>
      <c r="D88" t="s">
        <v>191</v>
      </c>
      <c r="E88" t="s">
        <v>288</v>
      </c>
      <c r="F88" t="s">
        <v>170</v>
      </c>
      <c r="G88" t="s">
        <v>284</v>
      </c>
      <c r="H88" s="59">
        <v>72</v>
      </c>
    </row>
    <row r="89" spans="1:8">
      <c r="A89" s="31">
        <v>46174</v>
      </c>
      <c r="B89" t="s">
        <v>156</v>
      </c>
      <c r="C89" t="b">
        <v>0</v>
      </c>
      <c r="D89" t="s">
        <v>191</v>
      </c>
      <c r="E89" t="s">
        <v>292</v>
      </c>
      <c r="F89" t="s">
        <v>171</v>
      </c>
      <c r="G89" t="s">
        <v>194</v>
      </c>
      <c r="H89" s="59">
        <v>60</v>
      </c>
    </row>
    <row r="90" spans="1:8">
      <c r="A90" s="31">
        <v>46174</v>
      </c>
      <c r="B90" t="s">
        <v>156</v>
      </c>
      <c r="C90" t="b">
        <v>0</v>
      </c>
      <c r="D90" t="s">
        <v>191</v>
      </c>
      <c r="E90" t="s">
        <v>297</v>
      </c>
      <c r="F90" t="s">
        <v>171</v>
      </c>
      <c r="G90" t="s">
        <v>194</v>
      </c>
      <c r="H90" s="59">
        <v>64</v>
      </c>
    </row>
    <row r="91" spans="1:8">
      <c r="A91" s="31">
        <v>46174</v>
      </c>
      <c r="B91" t="s">
        <v>156</v>
      </c>
      <c r="C91" t="b">
        <v>0</v>
      </c>
      <c r="D91" t="s">
        <v>191</v>
      </c>
      <c r="E91" t="s">
        <v>302</v>
      </c>
      <c r="F91" t="s">
        <v>171</v>
      </c>
      <c r="G91" t="s">
        <v>194</v>
      </c>
      <c r="H91" s="59">
        <v>56</v>
      </c>
    </row>
    <row r="92" spans="1:8">
      <c r="A92" s="31">
        <v>46174</v>
      </c>
      <c r="B92" t="s">
        <v>156</v>
      </c>
      <c r="C92" t="b">
        <v>0</v>
      </c>
      <c r="D92" t="s">
        <v>191</v>
      </c>
      <c r="E92" t="s">
        <v>307</v>
      </c>
      <c r="F92" t="s">
        <v>173</v>
      </c>
      <c r="G92" t="s">
        <v>241</v>
      </c>
      <c r="H92" s="59">
        <v>70</v>
      </c>
    </row>
    <row r="93" spans="1:8">
      <c r="A93" s="31">
        <v>46174</v>
      </c>
      <c r="B93" t="s">
        <v>156</v>
      </c>
      <c r="C93" t="b">
        <v>0</v>
      </c>
      <c r="D93" t="s">
        <v>191</v>
      </c>
      <c r="E93" t="s">
        <v>312</v>
      </c>
      <c r="F93" t="s">
        <v>170</v>
      </c>
      <c r="G93" t="s">
        <v>313</v>
      </c>
      <c r="H93" s="59">
        <v>36</v>
      </c>
    </row>
    <row r="94" spans="1:8">
      <c r="A94" s="31">
        <v>46174</v>
      </c>
      <c r="B94" t="s">
        <v>156</v>
      </c>
      <c r="C94" t="b">
        <v>0</v>
      </c>
      <c r="D94" t="s">
        <v>191</v>
      </c>
      <c r="E94" t="s">
        <v>318</v>
      </c>
      <c r="F94" t="s">
        <v>171</v>
      </c>
      <c r="G94" t="s">
        <v>194</v>
      </c>
      <c r="H94" s="59">
        <v>42</v>
      </c>
    </row>
    <row r="95" spans="1:8">
      <c r="A95" s="31">
        <v>46174</v>
      </c>
      <c r="B95" t="s">
        <v>156</v>
      </c>
      <c r="C95" t="b">
        <v>0</v>
      </c>
      <c r="D95" t="s">
        <v>323</v>
      </c>
      <c r="E95" t="s">
        <v>324</v>
      </c>
      <c r="F95" t="s">
        <v>172</v>
      </c>
      <c r="G95" t="s">
        <v>325</v>
      </c>
      <c r="H95" s="59">
        <v>64</v>
      </c>
    </row>
    <row r="96" spans="1:8">
      <c r="A96" s="31">
        <v>46174</v>
      </c>
      <c r="B96" t="s">
        <v>156</v>
      </c>
      <c r="C96" t="b">
        <v>0</v>
      </c>
      <c r="D96" t="s">
        <v>323</v>
      </c>
      <c r="E96" t="s">
        <v>329</v>
      </c>
      <c r="F96" t="s">
        <v>171</v>
      </c>
      <c r="G96" t="s">
        <v>330</v>
      </c>
      <c r="H96" s="59">
        <v>64</v>
      </c>
    </row>
    <row r="97" spans="1:8">
      <c r="A97" s="31">
        <v>46174</v>
      </c>
      <c r="B97" t="s">
        <v>156</v>
      </c>
      <c r="C97" t="b">
        <v>0</v>
      </c>
      <c r="D97" t="s">
        <v>323</v>
      </c>
      <c r="E97" t="s">
        <v>333</v>
      </c>
      <c r="F97" t="s">
        <v>172</v>
      </c>
      <c r="G97" t="s">
        <v>334</v>
      </c>
      <c r="H97" s="59">
        <v>66</v>
      </c>
    </row>
    <row r="98" spans="1:8">
      <c r="A98" s="31">
        <v>46174</v>
      </c>
      <c r="B98" t="s">
        <v>156</v>
      </c>
      <c r="C98" t="b">
        <v>0</v>
      </c>
      <c r="D98" t="s">
        <v>323</v>
      </c>
      <c r="E98" t="s">
        <v>339</v>
      </c>
      <c r="F98" t="s">
        <v>172</v>
      </c>
      <c r="G98" t="s">
        <v>325</v>
      </c>
    </row>
    <row r="99" spans="1:8">
      <c r="A99" s="31">
        <v>46174</v>
      </c>
      <c r="B99" t="s">
        <v>156</v>
      </c>
      <c r="C99" t="b">
        <v>0</v>
      </c>
      <c r="D99" t="s">
        <v>323</v>
      </c>
      <c r="E99" t="s">
        <v>343</v>
      </c>
      <c r="F99" t="s">
        <v>171</v>
      </c>
      <c r="G99" t="s">
        <v>330</v>
      </c>
      <c r="H99" s="59">
        <v>80</v>
      </c>
    </row>
    <row r="100" spans="1:8">
      <c r="A100" s="31">
        <v>46174</v>
      </c>
      <c r="B100" t="s">
        <v>156</v>
      </c>
      <c r="C100" t="b">
        <v>0</v>
      </c>
      <c r="D100" t="s">
        <v>323</v>
      </c>
      <c r="E100" t="s">
        <v>347</v>
      </c>
      <c r="F100" t="s">
        <v>170</v>
      </c>
      <c r="G100" t="s">
        <v>284</v>
      </c>
      <c r="H100" s="59">
        <v>84</v>
      </c>
    </row>
    <row r="101" spans="1:8">
      <c r="A101" s="31">
        <v>46174</v>
      </c>
      <c r="B101" t="s">
        <v>156</v>
      </c>
      <c r="C101" t="b">
        <v>0</v>
      </c>
      <c r="D101" t="s">
        <v>323</v>
      </c>
      <c r="E101" t="s">
        <v>352</v>
      </c>
      <c r="F101" t="s">
        <v>170</v>
      </c>
      <c r="G101" t="s">
        <v>353</v>
      </c>
      <c r="H101" s="59">
        <v>78</v>
      </c>
    </row>
    <row r="102" spans="1:8">
      <c r="A102" s="31">
        <v>46174</v>
      </c>
      <c r="B102" t="s">
        <v>156</v>
      </c>
      <c r="C102" t="b">
        <v>0</v>
      </c>
      <c r="D102" t="s">
        <v>323</v>
      </c>
      <c r="E102" t="s">
        <v>358</v>
      </c>
      <c r="F102" t="s">
        <v>170</v>
      </c>
      <c r="G102" t="s">
        <v>284</v>
      </c>
      <c r="H102" s="59">
        <v>66</v>
      </c>
    </row>
    <row r="103" spans="1:8">
      <c r="A103" s="31">
        <v>46174</v>
      </c>
      <c r="B103" t="s">
        <v>156</v>
      </c>
      <c r="C103" t="b">
        <v>0</v>
      </c>
      <c r="D103" t="s">
        <v>323</v>
      </c>
      <c r="E103" t="s">
        <v>363</v>
      </c>
      <c r="F103" t="s">
        <v>170</v>
      </c>
      <c r="G103" t="s">
        <v>364</v>
      </c>
      <c r="H103" s="59">
        <v>70</v>
      </c>
    </row>
    <row r="104" spans="1:8">
      <c r="A104" s="31">
        <v>46174</v>
      </c>
      <c r="B104" t="s">
        <v>156</v>
      </c>
      <c r="C104" t="b">
        <v>0</v>
      </c>
      <c r="D104" t="s">
        <v>323</v>
      </c>
      <c r="E104" t="s">
        <v>369</v>
      </c>
      <c r="F104" t="s">
        <v>170</v>
      </c>
      <c r="G104" t="s">
        <v>313</v>
      </c>
      <c r="H104" s="59">
        <v>70</v>
      </c>
    </row>
    <row r="105" spans="1:8">
      <c r="A105" s="31">
        <v>46174</v>
      </c>
      <c r="B105" t="s">
        <v>156</v>
      </c>
      <c r="C105" t="b">
        <v>0</v>
      </c>
      <c r="D105" t="s">
        <v>323</v>
      </c>
      <c r="E105" t="s">
        <v>372</v>
      </c>
      <c r="F105" t="s">
        <v>170</v>
      </c>
      <c r="G105" t="s">
        <v>284</v>
      </c>
      <c r="H105" s="59">
        <v>72</v>
      </c>
    </row>
    <row r="106" spans="1:8">
      <c r="A106" s="31">
        <v>46174</v>
      </c>
      <c r="B106" t="s">
        <v>156</v>
      </c>
      <c r="C106" t="b">
        <v>0</v>
      </c>
      <c r="D106" t="s">
        <v>323</v>
      </c>
      <c r="E106" t="s">
        <v>377</v>
      </c>
      <c r="F106" t="s">
        <v>170</v>
      </c>
      <c r="G106" t="s">
        <v>284</v>
      </c>
      <c r="H106" s="59">
        <v>64</v>
      </c>
    </row>
    <row r="107" spans="1:8">
      <c r="A107" s="31">
        <v>46174</v>
      </c>
      <c r="B107" t="s">
        <v>156</v>
      </c>
      <c r="C107" t="b">
        <v>0</v>
      </c>
      <c r="D107" t="s">
        <v>323</v>
      </c>
      <c r="E107" t="s">
        <v>381</v>
      </c>
      <c r="F107" t="s">
        <v>170</v>
      </c>
      <c r="G107" t="s">
        <v>364</v>
      </c>
      <c r="H107" s="59">
        <v>68</v>
      </c>
    </row>
    <row r="108" spans="1:8">
      <c r="A108" s="31">
        <v>46174</v>
      </c>
      <c r="B108" t="s">
        <v>156</v>
      </c>
      <c r="C108" t="b">
        <v>0</v>
      </c>
      <c r="D108" t="s">
        <v>323</v>
      </c>
      <c r="E108" t="s">
        <v>384</v>
      </c>
      <c r="F108" t="s">
        <v>170</v>
      </c>
      <c r="G108" t="s">
        <v>313</v>
      </c>
      <c r="H108" s="59">
        <v>66</v>
      </c>
    </row>
    <row r="109" spans="1:8">
      <c r="A109" s="31">
        <v>46174</v>
      </c>
      <c r="B109" t="s">
        <v>156</v>
      </c>
      <c r="C109" t="b">
        <v>0</v>
      </c>
      <c r="D109" t="s">
        <v>323</v>
      </c>
      <c r="E109" t="s">
        <v>388</v>
      </c>
      <c r="F109" t="s">
        <v>170</v>
      </c>
      <c r="G109" t="s">
        <v>389</v>
      </c>
      <c r="H109" s="59">
        <v>56</v>
      </c>
    </row>
    <row r="110" spans="1:8">
      <c r="A110" s="31">
        <v>46174</v>
      </c>
      <c r="B110" t="s">
        <v>156</v>
      </c>
      <c r="C110" t="b">
        <v>0</v>
      </c>
      <c r="D110" t="s">
        <v>323</v>
      </c>
      <c r="E110" t="s">
        <v>393</v>
      </c>
      <c r="F110" t="s">
        <v>171</v>
      </c>
      <c r="G110" t="s">
        <v>251</v>
      </c>
      <c r="H110" s="59">
        <v>72</v>
      </c>
    </row>
    <row r="111" spans="1:8">
      <c r="A111" s="31">
        <v>46174</v>
      </c>
      <c r="B111" t="s">
        <v>156</v>
      </c>
      <c r="C111" t="b">
        <v>0</v>
      </c>
      <c r="D111" t="s">
        <v>323</v>
      </c>
      <c r="E111" t="s">
        <v>398</v>
      </c>
      <c r="F111" t="s">
        <v>170</v>
      </c>
      <c r="G111" t="s">
        <v>364</v>
      </c>
      <c r="H111" s="59">
        <v>84</v>
      </c>
    </row>
    <row r="112" spans="1:8">
      <c r="A112" s="31">
        <v>46174</v>
      </c>
      <c r="B112" t="s">
        <v>156</v>
      </c>
      <c r="C112" t="b">
        <v>0</v>
      </c>
      <c r="D112" t="s">
        <v>323</v>
      </c>
      <c r="E112" t="s">
        <v>403</v>
      </c>
      <c r="F112" t="s">
        <v>172</v>
      </c>
      <c r="G112" t="s">
        <v>325</v>
      </c>
      <c r="H112" s="59">
        <v>72</v>
      </c>
    </row>
    <row r="113" spans="1:8">
      <c r="A113" s="31">
        <v>46174</v>
      </c>
      <c r="B113" t="s">
        <v>156</v>
      </c>
      <c r="C113" t="b">
        <v>0</v>
      </c>
      <c r="D113" t="s">
        <v>323</v>
      </c>
      <c r="E113" t="s">
        <v>407</v>
      </c>
      <c r="F113" t="s">
        <v>170</v>
      </c>
      <c r="G113" t="s">
        <v>389</v>
      </c>
    </row>
    <row r="114" spans="1:8">
      <c r="A114" s="31">
        <v>46174</v>
      </c>
      <c r="B114" t="s">
        <v>156</v>
      </c>
      <c r="C114" t="b">
        <v>0</v>
      </c>
      <c r="D114" t="s">
        <v>323</v>
      </c>
      <c r="E114" t="s">
        <v>411</v>
      </c>
      <c r="F114" t="s">
        <v>170</v>
      </c>
      <c r="G114" t="s">
        <v>389</v>
      </c>
      <c r="H114" s="59">
        <v>70</v>
      </c>
    </row>
    <row r="115" spans="1:8">
      <c r="A115" s="31">
        <v>46174</v>
      </c>
      <c r="B115" t="s">
        <v>156</v>
      </c>
      <c r="C115" t="b">
        <v>0</v>
      </c>
      <c r="D115" t="s">
        <v>416</v>
      </c>
      <c r="E115" t="s">
        <v>417</v>
      </c>
      <c r="F115" t="s">
        <v>173</v>
      </c>
      <c r="G115" t="s">
        <v>224</v>
      </c>
      <c r="H115" s="59">
        <v>66</v>
      </c>
    </row>
    <row r="116" spans="1:8">
      <c r="A116" s="31">
        <v>46174</v>
      </c>
      <c r="B116" t="s">
        <v>156</v>
      </c>
      <c r="C116" t="b">
        <v>0</v>
      </c>
      <c r="D116" t="s">
        <v>416</v>
      </c>
      <c r="E116" t="s">
        <v>422</v>
      </c>
      <c r="F116" t="s">
        <v>263</v>
      </c>
      <c r="G116" t="s">
        <v>263</v>
      </c>
    </row>
    <row r="117" spans="1:8">
      <c r="A117" s="31">
        <v>46174</v>
      </c>
      <c r="B117" t="s">
        <v>156</v>
      </c>
      <c r="C117" t="b">
        <v>0</v>
      </c>
      <c r="D117" t="s">
        <v>416</v>
      </c>
      <c r="E117" t="s">
        <v>426</v>
      </c>
      <c r="F117" t="s">
        <v>263</v>
      </c>
      <c r="G117" t="s">
        <v>263</v>
      </c>
    </row>
    <row r="118" spans="1:8">
      <c r="A118" s="31">
        <v>46174</v>
      </c>
      <c r="B118" t="s">
        <v>156</v>
      </c>
      <c r="C118" t="b">
        <v>0</v>
      </c>
      <c r="D118" t="s">
        <v>416</v>
      </c>
      <c r="E118" t="s">
        <v>429</v>
      </c>
      <c r="F118" t="s">
        <v>263</v>
      </c>
      <c r="G118" t="s">
        <v>263</v>
      </c>
    </row>
    <row r="119" spans="1:8">
      <c r="A119" s="31">
        <v>46174</v>
      </c>
      <c r="B119" t="s">
        <v>156</v>
      </c>
      <c r="C119" t="b">
        <v>0</v>
      </c>
      <c r="D119" t="s">
        <v>416</v>
      </c>
      <c r="E119" t="s">
        <v>432</v>
      </c>
      <c r="F119" t="s">
        <v>263</v>
      </c>
      <c r="G119" t="s">
        <v>263</v>
      </c>
    </row>
    <row r="120" spans="1:8">
      <c r="A120" s="31">
        <v>46174</v>
      </c>
      <c r="B120" t="s">
        <v>156</v>
      </c>
      <c r="C120" t="b">
        <v>0</v>
      </c>
      <c r="D120" t="s">
        <v>416</v>
      </c>
      <c r="E120" t="s">
        <v>436</v>
      </c>
      <c r="F120" t="s">
        <v>263</v>
      </c>
      <c r="G120" t="s">
        <v>263</v>
      </c>
    </row>
    <row r="121" spans="1:8">
      <c r="A121" s="31">
        <v>46174</v>
      </c>
      <c r="B121" t="s">
        <v>156</v>
      </c>
      <c r="C121" t="b">
        <v>0</v>
      </c>
      <c r="D121" t="s">
        <v>416</v>
      </c>
      <c r="E121" t="s">
        <v>439</v>
      </c>
      <c r="F121" t="s">
        <v>263</v>
      </c>
      <c r="G121" t="s">
        <v>263</v>
      </c>
    </row>
    <row r="122" spans="1:8">
      <c r="A122" s="31">
        <v>46174</v>
      </c>
      <c r="B122" t="s">
        <v>156</v>
      </c>
      <c r="C122" t="b">
        <v>0</v>
      </c>
      <c r="D122" t="s">
        <v>416</v>
      </c>
      <c r="E122" t="s">
        <v>442</v>
      </c>
      <c r="F122" t="s">
        <v>263</v>
      </c>
      <c r="G122" t="s">
        <v>263</v>
      </c>
    </row>
    <row r="123" spans="1:8">
      <c r="A123" s="31">
        <v>46174</v>
      </c>
      <c r="B123" t="s">
        <v>156</v>
      </c>
      <c r="C123" t="b">
        <v>0</v>
      </c>
      <c r="D123" t="s">
        <v>416</v>
      </c>
      <c r="E123" t="s">
        <v>445</v>
      </c>
      <c r="F123" t="s">
        <v>263</v>
      </c>
      <c r="G123" t="s">
        <v>263</v>
      </c>
    </row>
    <row r="124" spans="1:8">
      <c r="A124" s="31">
        <v>46174</v>
      </c>
      <c r="B124" t="s">
        <v>156</v>
      </c>
      <c r="C124" t="b">
        <v>0</v>
      </c>
      <c r="D124" t="s">
        <v>416</v>
      </c>
      <c r="E124" t="s">
        <v>448</v>
      </c>
      <c r="F124" t="s">
        <v>173</v>
      </c>
      <c r="G124" t="s">
        <v>449</v>
      </c>
    </row>
    <row r="125" spans="1:8">
      <c r="A125" s="31">
        <v>46174</v>
      </c>
      <c r="B125" t="s">
        <v>156</v>
      </c>
      <c r="C125" t="b">
        <v>0</v>
      </c>
      <c r="D125" t="s">
        <v>416</v>
      </c>
      <c r="E125" t="s">
        <v>452</v>
      </c>
      <c r="F125" t="s">
        <v>173</v>
      </c>
      <c r="G125" t="s">
        <v>449</v>
      </c>
      <c r="H125" s="59">
        <v>60</v>
      </c>
    </row>
    <row r="126" spans="1:8">
      <c r="A126" s="31">
        <v>46174</v>
      </c>
      <c r="B126" t="s">
        <v>156</v>
      </c>
      <c r="C126" t="b">
        <v>0</v>
      </c>
      <c r="D126" t="s">
        <v>457</v>
      </c>
      <c r="E126" t="s">
        <v>458</v>
      </c>
      <c r="F126" t="s">
        <v>170</v>
      </c>
      <c r="G126" t="s">
        <v>353</v>
      </c>
      <c r="H126" s="59">
        <v>72</v>
      </c>
    </row>
    <row r="127" spans="1:8">
      <c r="A127" s="31">
        <v>46174</v>
      </c>
      <c r="B127" t="s">
        <v>156</v>
      </c>
      <c r="C127" t="b">
        <v>0</v>
      </c>
      <c r="D127" t="s">
        <v>457</v>
      </c>
      <c r="E127" t="s">
        <v>462</v>
      </c>
      <c r="F127" t="s">
        <v>263</v>
      </c>
      <c r="G127" t="s">
        <v>263</v>
      </c>
    </row>
    <row r="128" spans="1:8">
      <c r="A128" s="31">
        <v>46174</v>
      </c>
      <c r="B128" t="s">
        <v>156</v>
      </c>
      <c r="C128" t="b">
        <v>0</v>
      </c>
      <c r="D128" t="s">
        <v>457</v>
      </c>
      <c r="E128" t="s">
        <v>465</v>
      </c>
      <c r="F128" t="s">
        <v>173</v>
      </c>
      <c r="G128" t="s">
        <v>278</v>
      </c>
      <c r="H128" s="59">
        <v>28</v>
      </c>
    </row>
    <row r="129" spans="1:8">
      <c r="A129" s="31">
        <v>46174</v>
      </c>
      <c r="B129" t="s">
        <v>156</v>
      </c>
      <c r="C129" t="b">
        <v>0</v>
      </c>
      <c r="D129" t="s">
        <v>457</v>
      </c>
      <c r="E129" t="s">
        <v>469</v>
      </c>
      <c r="F129" t="s">
        <v>173</v>
      </c>
      <c r="G129" t="s">
        <v>278</v>
      </c>
      <c r="H129" s="59">
        <v>32</v>
      </c>
    </row>
    <row r="130" spans="1:8">
      <c r="A130" s="31">
        <v>46174</v>
      </c>
      <c r="B130" t="s">
        <v>156</v>
      </c>
      <c r="C130" t="b">
        <v>0</v>
      </c>
      <c r="D130" t="s">
        <v>457</v>
      </c>
      <c r="E130" t="s">
        <v>473</v>
      </c>
      <c r="F130" t="s">
        <v>172</v>
      </c>
      <c r="G130" t="s">
        <v>334</v>
      </c>
      <c r="H130" s="59">
        <v>36</v>
      </c>
    </row>
    <row r="131" spans="1:8">
      <c r="A131" s="31">
        <v>46174</v>
      </c>
      <c r="B131" t="s">
        <v>156</v>
      </c>
      <c r="C131" t="b">
        <v>0</v>
      </c>
      <c r="D131" t="s">
        <v>457</v>
      </c>
      <c r="E131" t="s">
        <v>476</v>
      </c>
      <c r="F131" t="s">
        <v>172</v>
      </c>
      <c r="G131" t="s">
        <v>477</v>
      </c>
      <c r="H131" s="59">
        <v>22</v>
      </c>
    </row>
    <row r="132" spans="1:8">
      <c r="A132" s="31">
        <v>46174</v>
      </c>
      <c r="B132" t="s">
        <v>156</v>
      </c>
      <c r="C132" t="b">
        <v>0</v>
      </c>
      <c r="D132" t="s">
        <v>457</v>
      </c>
      <c r="E132" t="s">
        <v>480</v>
      </c>
      <c r="F132" t="s">
        <v>173</v>
      </c>
      <c r="G132" t="s">
        <v>278</v>
      </c>
      <c r="H132" s="59">
        <v>28</v>
      </c>
    </row>
    <row r="133" spans="1:8">
      <c r="A133" s="31">
        <v>46174</v>
      </c>
      <c r="B133" t="s">
        <v>156</v>
      </c>
      <c r="C133" t="b">
        <v>0</v>
      </c>
      <c r="D133" t="s">
        <v>457</v>
      </c>
      <c r="E133" t="s">
        <v>484</v>
      </c>
      <c r="F133" t="s">
        <v>173</v>
      </c>
      <c r="G133" t="s">
        <v>278</v>
      </c>
      <c r="H133" s="59">
        <v>30</v>
      </c>
    </row>
    <row r="134" spans="1:8">
      <c r="A134" s="31">
        <v>46174</v>
      </c>
      <c r="B134" t="s">
        <v>156</v>
      </c>
      <c r="C134" t="b">
        <v>0</v>
      </c>
      <c r="D134" t="s">
        <v>457</v>
      </c>
      <c r="E134" t="s">
        <v>487</v>
      </c>
      <c r="F134" t="s">
        <v>173</v>
      </c>
      <c r="G134" t="s">
        <v>278</v>
      </c>
      <c r="H134" s="59">
        <v>0</v>
      </c>
    </row>
    <row r="135" spans="1:8">
      <c r="A135" s="31">
        <v>46174</v>
      </c>
      <c r="B135" t="s">
        <v>156</v>
      </c>
      <c r="C135" t="b">
        <v>0</v>
      </c>
      <c r="D135" t="s">
        <v>492</v>
      </c>
      <c r="E135" t="s">
        <v>493</v>
      </c>
      <c r="F135" t="s">
        <v>171</v>
      </c>
      <c r="G135" t="s">
        <v>231</v>
      </c>
      <c r="H135" s="59">
        <v>72</v>
      </c>
    </row>
    <row r="136" spans="1:8">
      <c r="A136" s="31">
        <v>46174</v>
      </c>
      <c r="B136" t="s">
        <v>156</v>
      </c>
      <c r="C136" t="b">
        <v>0</v>
      </c>
      <c r="D136" t="s">
        <v>492</v>
      </c>
      <c r="E136" t="s">
        <v>498</v>
      </c>
      <c r="F136" t="s">
        <v>170</v>
      </c>
      <c r="G136" t="s">
        <v>313</v>
      </c>
      <c r="H136" s="59">
        <v>72</v>
      </c>
    </row>
    <row r="137" spans="1:8">
      <c r="A137" s="31">
        <v>46174</v>
      </c>
      <c r="B137" t="s">
        <v>156</v>
      </c>
      <c r="C137" t="b">
        <v>0</v>
      </c>
      <c r="D137" t="s">
        <v>492</v>
      </c>
      <c r="E137" t="s">
        <v>501</v>
      </c>
      <c r="F137" t="s">
        <v>170</v>
      </c>
      <c r="G137" t="s">
        <v>313</v>
      </c>
      <c r="H137" s="59">
        <v>64</v>
      </c>
    </row>
    <row r="138" spans="1:8">
      <c r="A138" s="31">
        <v>46174</v>
      </c>
      <c r="B138" t="s">
        <v>159</v>
      </c>
      <c r="C138" t="b">
        <v>0</v>
      </c>
      <c r="D138" t="s">
        <v>191</v>
      </c>
      <c r="E138" t="s">
        <v>192</v>
      </c>
      <c r="F138" t="s">
        <v>171</v>
      </c>
      <c r="G138" t="s">
        <v>194</v>
      </c>
      <c r="H138" s="59">
        <v>64</v>
      </c>
    </row>
    <row r="139" spans="1:8">
      <c r="A139" s="31">
        <v>46174</v>
      </c>
      <c r="B139" t="s">
        <v>159</v>
      </c>
      <c r="C139" t="b">
        <v>0</v>
      </c>
      <c r="D139" t="s">
        <v>191</v>
      </c>
      <c r="E139" t="s">
        <v>199</v>
      </c>
      <c r="F139" t="s">
        <v>171</v>
      </c>
      <c r="G139" t="s">
        <v>194</v>
      </c>
      <c r="H139" s="59">
        <v>68</v>
      </c>
    </row>
    <row r="140" spans="1:8">
      <c r="A140" s="31">
        <v>46174</v>
      </c>
      <c r="B140" t="s">
        <v>159</v>
      </c>
      <c r="C140" t="b">
        <v>0</v>
      </c>
      <c r="D140" t="s">
        <v>191</v>
      </c>
      <c r="E140" t="s">
        <v>204</v>
      </c>
      <c r="F140" t="s">
        <v>171</v>
      </c>
      <c r="G140" t="s">
        <v>194</v>
      </c>
      <c r="H140" s="59">
        <v>80</v>
      </c>
    </row>
    <row r="141" spans="1:8">
      <c r="A141" s="31">
        <v>46174</v>
      </c>
      <c r="B141" t="s">
        <v>159</v>
      </c>
      <c r="C141" t="b">
        <v>0</v>
      </c>
      <c r="D141" t="s">
        <v>191</v>
      </c>
      <c r="E141" t="s">
        <v>209</v>
      </c>
      <c r="F141" t="s">
        <v>171</v>
      </c>
      <c r="G141" t="s">
        <v>194</v>
      </c>
      <c r="H141" s="59">
        <v>74</v>
      </c>
    </row>
    <row r="142" spans="1:8">
      <c r="A142" s="31">
        <v>46174</v>
      </c>
      <c r="B142" t="s">
        <v>159</v>
      </c>
      <c r="C142" t="b">
        <v>0</v>
      </c>
      <c r="D142" t="s">
        <v>191</v>
      </c>
      <c r="E142" t="s">
        <v>214</v>
      </c>
      <c r="F142" t="s">
        <v>171</v>
      </c>
      <c r="G142" t="s">
        <v>194</v>
      </c>
      <c r="H142" s="59">
        <v>58</v>
      </c>
    </row>
    <row r="143" spans="1:8">
      <c r="A143" s="31">
        <v>46174</v>
      </c>
      <c r="B143" t="s">
        <v>159</v>
      </c>
      <c r="C143" t="b">
        <v>0</v>
      </c>
      <c r="D143" t="s">
        <v>191</v>
      </c>
      <c r="E143" t="s">
        <v>219</v>
      </c>
      <c r="F143" t="s">
        <v>171</v>
      </c>
      <c r="G143" t="s">
        <v>194</v>
      </c>
      <c r="H143" s="59">
        <v>90</v>
      </c>
    </row>
    <row r="144" spans="1:8">
      <c r="A144" s="31">
        <v>46174</v>
      </c>
      <c r="B144" t="s">
        <v>159</v>
      </c>
      <c r="C144" t="b">
        <v>0</v>
      </c>
      <c r="D144" t="s">
        <v>191</v>
      </c>
      <c r="E144" t="s">
        <v>223</v>
      </c>
      <c r="F144" t="s">
        <v>173</v>
      </c>
      <c r="G144" t="s">
        <v>224</v>
      </c>
      <c r="H144" s="59">
        <v>68</v>
      </c>
    </row>
    <row r="145" spans="1:8">
      <c r="A145" s="31">
        <v>46174</v>
      </c>
      <c r="B145" t="s">
        <v>159</v>
      </c>
      <c r="C145" t="b">
        <v>0</v>
      </c>
      <c r="D145" t="s">
        <v>191</v>
      </c>
      <c r="E145" t="s">
        <v>230</v>
      </c>
      <c r="F145" t="s">
        <v>171</v>
      </c>
      <c r="G145" t="s">
        <v>231</v>
      </c>
      <c r="H145" s="59">
        <v>46</v>
      </c>
    </row>
    <row r="146" spans="1:8">
      <c r="A146" s="31">
        <v>46174</v>
      </c>
      <c r="B146" t="s">
        <v>159</v>
      </c>
      <c r="C146" t="b">
        <v>0</v>
      </c>
      <c r="D146" t="s">
        <v>191</v>
      </c>
      <c r="E146" t="s">
        <v>236</v>
      </c>
      <c r="F146" t="s">
        <v>171</v>
      </c>
      <c r="G146" t="s">
        <v>231</v>
      </c>
    </row>
    <row r="147" spans="1:8">
      <c r="A147" s="31">
        <v>46174</v>
      </c>
      <c r="B147" t="s">
        <v>159</v>
      </c>
      <c r="C147" t="b">
        <v>0</v>
      </c>
      <c r="D147" t="s">
        <v>191</v>
      </c>
      <c r="E147" t="s">
        <v>240</v>
      </c>
      <c r="F147" t="s">
        <v>173</v>
      </c>
      <c r="G147" t="s">
        <v>241</v>
      </c>
      <c r="H147" s="59">
        <v>62</v>
      </c>
    </row>
    <row r="148" spans="1:8">
      <c r="A148" s="31">
        <v>46174</v>
      </c>
      <c r="B148" t="s">
        <v>159</v>
      </c>
      <c r="C148" t="b">
        <v>0</v>
      </c>
      <c r="D148" t="s">
        <v>191</v>
      </c>
      <c r="E148" t="s">
        <v>246</v>
      </c>
      <c r="F148" t="s">
        <v>171</v>
      </c>
      <c r="G148" t="s">
        <v>231</v>
      </c>
      <c r="H148" s="59">
        <v>52</v>
      </c>
    </row>
    <row r="149" spans="1:8">
      <c r="A149" s="31">
        <v>46174</v>
      </c>
      <c r="B149" t="s">
        <v>159</v>
      </c>
      <c r="C149" t="b">
        <v>0</v>
      </c>
      <c r="D149" t="s">
        <v>191</v>
      </c>
      <c r="E149" t="s">
        <v>250</v>
      </c>
      <c r="F149" t="s">
        <v>171</v>
      </c>
      <c r="G149" t="s">
        <v>251</v>
      </c>
      <c r="H149" s="59">
        <v>78</v>
      </c>
    </row>
    <row r="150" spans="1:8">
      <c r="A150" s="31">
        <v>46174</v>
      </c>
      <c r="B150" t="s">
        <v>159</v>
      </c>
      <c r="C150" t="b">
        <v>0</v>
      </c>
      <c r="D150" t="s">
        <v>191</v>
      </c>
      <c r="E150" t="s">
        <v>256</v>
      </c>
      <c r="F150" t="s">
        <v>173</v>
      </c>
      <c r="G150" t="s">
        <v>241</v>
      </c>
      <c r="H150" s="59">
        <v>74</v>
      </c>
    </row>
    <row r="151" spans="1:8">
      <c r="A151" s="31">
        <v>46174</v>
      </c>
      <c r="B151" t="s">
        <v>159</v>
      </c>
      <c r="C151" t="b">
        <v>0</v>
      </c>
      <c r="D151" t="s">
        <v>191</v>
      </c>
      <c r="E151" t="s">
        <v>261</v>
      </c>
      <c r="F151" t="s">
        <v>263</v>
      </c>
      <c r="G151" t="s">
        <v>263</v>
      </c>
    </row>
    <row r="152" spans="1:8">
      <c r="A152" s="31">
        <v>46174</v>
      </c>
      <c r="B152" t="s">
        <v>159</v>
      </c>
      <c r="C152" t="b">
        <v>0</v>
      </c>
      <c r="D152" t="s">
        <v>191</v>
      </c>
      <c r="E152" t="s">
        <v>267</v>
      </c>
      <c r="F152" t="s">
        <v>263</v>
      </c>
      <c r="G152" t="s">
        <v>263</v>
      </c>
    </row>
    <row r="153" spans="1:8">
      <c r="A153" s="31">
        <v>46174</v>
      </c>
      <c r="B153" t="s">
        <v>159</v>
      </c>
      <c r="C153" t="b">
        <v>0</v>
      </c>
      <c r="D153" t="s">
        <v>191</v>
      </c>
      <c r="E153" t="s">
        <v>272</v>
      </c>
      <c r="F153" t="s">
        <v>173</v>
      </c>
      <c r="G153" t="s">
        <v>273</v>
      </c>
      <c r="H153" s="59">
        <v>42</v>
      </c>
    </row>
    <row r="154" spans="1:8">
      <c r="A154" s="31">
        <v>46174</v>
      </c>
      <c r="B154" t="s">
        <v>159</v>
      </c>
      <c r="C154" t="b">
        <v>0</v>
      </c>
      <c r="D154" t="s">
        <v>191</v>
      </c>
      <c r="E154" t="s">
        <v>277</v>
      </c>
      <c r="F154" t="s">
        <v>173</v>
      </c>
      <c r="G154" t="s">
        <v>278</v>
      </c>
      <c r="H154" s="59">
        <v>58</v>
      </c>
    </row>
    <row r="155" spans="1:8">
      <c r="A155" s="31">
        <v>46174</v>
      </c>
      <c r="B155" t="s">
        <v>159</v>
      </c>
      <c r="C155" t="b">
        <v>0</v>
      </c>
      <c r="D155" t="s">
        <v>191</v>
      </c>
      <c r="E155" t="s">
        <v>283</v>
      </c>
      <c r="F155" t="s">
        <v>170</v>
      </c>
      <c r="G155" t="s">
        <v>284</v>
      </c>
      <c r="H155" s="59">
        <v>66</v>
      </c>
    </row>
    <row r="156" spans="1:8">
      <c r="A156" s="31">
        <v>46174</v>
      </c>
      <c r="B156" t="s">
        <v>159</v>
      </c>
      <c r="C156" t="b">
        <v>0</v>
      </c>
      <c r="D156" t="s">
        <v>191</v>
      </c>
      <c r="E156" t="s">
        <v>288</v>
      </c>
      <c r="F156" t="s">
        <v>170</v>
      </c>
      <c r="G156" t="s">
        <v>284</v>
      </c>
      <c r="H156" s="59">
        <v>54</v>
      </c>
    </row>
    <row r="157" spans="1:8">
      <c r="A157" s="31">
        <v>46174</v>
      </c>
      <c r="B157" t="s">
        <v>159</v>
      </c>
      <c r="C157" t="b">
        <v>0</v>
      </c>
      <c r="D157" t="s">
        <v>191</v>
      </c>
      <c r="E157" t="s">
        <v>292</v>
      </c>
      <c r="F157" t="s">
        <v>171</v>
      </c>
      <c r="G157" t="s">
        <v>194</v>
      </c>
      <c r="H157" s="59">
        <v>56</v>
      </c>
    </row>
    <row r="158" spans="1:8">
      <c r="A158" s="31">
        <v>46174</v>
      </c>
      <c r="B158" t="s">
        <v>159</v>
      </c>
      <c r="C158" t="b">
        <v>0</v>
      </c>
      <c r="D158" t="s">
        <v>191</v>
      </c>
      <c r="E158" t="s">
        <v>297</v>
      </c>
      <c r="F158" t="s">
        <v>171</v>
      </c>
      <c r="G158" t="s">
        <v>194</v>
      </c>
      <c r="H158" s="59">
        <v>66</v>
      </c>
    </row>
    <row r="159" spans="1:8">
      <c r="A159" s="31">
        <v>46174</v>
      </c>
      <c r="B159" t="s">
        <v>159</v>
      </c>
      <c r="C159" t="b">
        <v>0</v>
      </c>
      <c r="D159" t="s">
        <v>191</v>
      </c>
      <c r="E159" t="s">
        <v>302</v>
      </c>
      <c r="F159" t="s">
        <v>171</v>
      </c>
      <c r="G159" t="s">
        <v>194</v>
      </c>
      <c r="H159" s="59">
        <v>54</v>
      </c>
    </row>
    <row r="160" spans="1:8">
      <c r="A160" s="31">
        <v>46174</v>
      </c>
      <c r="B160" t="s">
        <v>159</v>
      </c>
      <c r="C160" t="b">
        <v>0</v>
      </c>
      <c r="D160" t="s">
        <v>191</v>
      </c>
      <c r="E160" t="s">
        <v>307</v>
      </c>
      <c r="F160" t="s">
        <v>173</v>
      </c>
      <c r="G160" t="s">
        <v>241</v>
      </c>
      <c r="H160" s="59">
        <v>68</v>
      </c>
    </row>
    <row r="161" spans="1:8">
      <c r="A161" s="31">
        <v>46174</v>
      </c>
      <c r="B161" t="s">
        <v>159</v>
      </c>
      <c r="C161" t="b">
        <v>0</v>
      </c>
      <c r="D161" t="s">
        <v>191</v>
      </c>
      <c r="E161" t="s">
        <v>312</v>
      </c>
      <c r="F161" t="s">
        <v>170</v>
      </c>
      <c r="G161" t="s">
        <v>313</v>
      </c>
      <c r="H161" s="59">
        <v>46</v>
      </c>
    </row>
    <row r="162" spans="1:8">
      <c r="A162" s="31">
        <v>46174</v>
      </c>
      <c r="B162" t="s">
        <v>159</v>
      </c>
      <c r="C162" t="b">
        <v>0</v>
      </c>
      <c r="D162" t="s">
        <v>191</v>
      </c>
      <c r="E162" t="s">
        <v>318</v>
      </c>
      <c r="F162" t="s">
        <v>171</v>
      </c>
      <c r="G162" t="s">
        <v>194</v>
      </c>
      <c r="H162" s="59">
        <v>40</v>
      </c>
    </row>
    <row r="163" spans="1:8">
      <c r="A163" s="31">
        <v>46174</v>
      </c>
      <c r="B163" t="s">
        <v>159</v>
      </c>
      <c r="C163" t="b">
        <v>0</v>
      </c>
      <c r="D163" t="s">
        <v>323</v>
      </c>
      <c r="E163" t="s">
        <v>324</v>
      </c>
      <c r="F163" t="s">
        <v>172</v>
      </c>
      <c r="G163" t="s">
        <v>325</v>
      </c>
      <c r="H163" s="59">
        <v>68</v>
      </c>
    </row>
    <row r="164" spans="1:8">
      <c r="A164" s="31">
        <v>46174</v>
      </c>
      <c r="B164" t="s">
        <v>159</v>
      </c>
      <c r="C164" t="b">
        <v>0</v>
      </c>
      <c r="D164" t="s">
        <v>323</v>
      </c>
      <c r="E164" t="s">
        <v>329</v>
      </c>
      <c r="F164" t="s">
        <v>171</v>
      </c>
      <c r="G164" t="s">
        <v>330</v>
      </c>
      <c r="H164" s="59">
        <v>70</v>
      </c>
    </row>
    <row r="165" spans="1:8">
      <c r="A165" s="31">
        <v>46174</v>
      </c>
      <c r="B165" t="s">
        <v>159</v>
      </c>
      <c r="C165" t="b">
        <v>0</v>
      </c>
      <c r="D165" t="s">
        <v>323</v>
      </c>
      <c r="E165" t="s">
        <v>333</v>
      </c>
      <c r="F165" t="s">
        <v>172</v>
      </c>
      <c r="G165" t="s">
        <v>334</v>
      </c>
      <c r="H165" s="59">
        <v>68</v>
      </c>
    </row>
    <row r="166" spans="1:8">
      <c r="A166" s="31">
        <v>46174</v>
      </c>
      <c r="B166" t="s">
        <v>159</v>
      </c>
      <c r="C166" t="b">
        <v>0</v>
      </c>
      <c r="D166" t="s">
        <v>323</v>
      </c>
      <c r="E166" t="s">
        <v>339</v>
      </c>
      <c r="F166" t="s">
        <v>172</v>
      </c>
      <c r="G166" t="s">
        <v>325</v>
      </c>
    </row>
    <row r="167" spans="1:8">
      <c r="A167" s="31">
        <v>46174</v>
      </c>
      <c r="B167" t="s">
        <v>159</v>
      </c>
      <c r="C167" t="b">
        <v>0</v>
      </c>
      <c r="D167" t="s">
        <v>323</v>
      </c>
      <c r="E167" t="s">
        <v>343</v>
      </c>
      <c r="F167" t="s">
        <v>171</v>
      </c>
      <c r="G167" t="s">
        <v>330</v>
      </c>
      <c r="H167" s="59">
        <v>76</v>
      </c>
    </row>
    <row r="168" spans="1:8">
      <c r="A168" s="31">
        <v>46174</v>
      </c>
      <c r="B168" t="s">
        <v>159</v>
      </c>
      <c r="C168" t="b">
        <v>0</v>
      </c>
      <c r="D168" t="s">
        <v>323</v>
      </c>
      <c r="E168" t="s">
        <v>347</v>
      </c>
      <c r="F168" t="s">
        <v>170</v>
      </c>
      <c r="G168" t="s">
        <v>284</v>
      </c>
      <c r="H168" s="59">
        <v>76</v>
      </c>
    </row>
    <row r="169" spans="1:8">
      <c r="A169" s="31">
        <v>46174</v>
      </c>
      <c r="B169" t="s">
        <v>159</v>
      </c>
      <c r="C169" t="b">
        <v>0</v>
      </c>
      <c r="D169" t="s">
        <v>323</v>
      </c>
      <c r="E169" t="s">
        <v>352</v>
      </c>
      <c r="F169" t="s">
        <v>170</v>
      </c>
      <c r="G169" t="s">
        <v>353</v>
      </c>
      <c r="H169" s="59">
        <v>58</v>
      </c>
    </row>
    <row r="170" spans="1:8">
      <c r="A170" s="31">
        <v>46174</v>
      </c>
      <c r="B170" t="s">
        <v>159</v>
      </c>
      <c r="C170" t="b">
        <v>0</v>
      </c>
      <c r="D170" t="s">
        <v>323</v>
      </c>
      <c r="E170" t="s">
        <v>358</v>
      </c>
      <c r="F170" t="s">
        <v>170</v>
      </c>
      <c r="G170" t="s">
        <v>284</v>
      </c>
      <c r="H170" s="59">
        <v>62</v>
      </c>
    </row>
    <row r="171" spans="1:8">
      <c r="A171" s="31">
        <v>46174</v>
      </c>
      <c r="B171" t="s">
        <v>159</v>
      </c>
      <c r="C171" t="b">
        <v>0</v>
      </c>
      <c r="D171" t="s">
        <v>323</v>
      </c>
      <c r="E171" t="s">
        <v>363</v>
      </c>
      <c r="F171" t="s">
        <v>170</v>
      </c>
      <c r="G171" t="s">
        <v>364</v>
      </c>
      <c r="H171" s="59">
        <v>54</v>
      </c>
    </row>
    <row r="172" spans="1:8">
      <c r="A172" s="31">
        <v>46174</v>
      </c>
      <c r="B172" t="s">
        <v>159</v>
      </c>
      <c r="C172" t="b">
        <v>0</v>
      </c>
      <c r="D172" t="s">
        <v>323</v>
      </c>
      <c r="E172" t="s">
        <v>369</v>
      </c>
      <c r="F172" t="s">
        <v>170</v>
      </c>
      <c r="G172" t="s">
        <v>313</v>
      </c>
      <c r="H172" s="59">
        <v>70</v>
      </c>
    </row>
    <row r="173" spans="1:8">
      <c r="A173" s="31">
        <v>46174</v>
      </c>
      <c r="B173" t="s">
        <v>159</v>
      </c>
      <c r="C173" t="b">
        <v>0</v>
      </c>
      <c r="D173" t="s">
        <v>323</v>
      </c>
      <c r="E173" t="s">
        <v>372</v>
      </c>
      <c r="F173" t="s">
        <v>170</v>
      </c>
      <c r="G173" t="s">
        <v>284</v>
      </c>
      <c r="H173" s="59">
        <v>62</v>
      </c>
    </row>
    <row r="174" spans="1:8">
      <c r="A174" s="31">
        <v>46174</v>
      </c>
      <c r="B174" t="s">
        <v>159</v>
      </c>
      <c r="C174" t="b">
        <v>0</v>
      </c>
      <c r="D174" t="s">
        <v>323</v>
      </c>
      <c r="E174" t="s">
        <v>377</v>
      </c>
      <c r="F174" t="s">
        <v>170</v>
      </c>
      <c r="G174" t="s">
        <v>284</v>
      </c>
      <c r="H174" s="59">
        <v>64</v>
      </c>
    </row>
    <row r="175" spans="1:8">
      <c r="A175" s="31">
        <v>46174</v>
      </c>
      <c r="B175" t="s">
        <v>159</v>
      </c>
      <c r="C175" t="b">
        <v>0</v>
      </c>
      <c r="D175" t="s">
        <v>323</v>
      </c>
      <c r="E175" t="s">
        <v>381</v>
      </c>
      <c r="F175" t="s">
        <v>170</v>
      </c>
      <c r="G175" t="s">
        <v>364</v>
      </c>
      <c r="H175" s="59">
        <v>66</v>
      </c>
    </row>
    <row r="176" spans="1:8">
      <c r="A176" s="31">
        <v>46174</v>
      </c>
      <c r="B176" t="s">
        <v>159</v>
      </c>
      <c r="C176" t="b">
        <v>0</v>
      </c>
      <c r="D176" t="s">
        <v>323</v>
      </c>
      <c r="E176" t="s">
        <v>384</v>
      </c>
      <c r="F176" t="s">
        <v>170</v>
      </c>
      <c r="G176" t="s">
        <v>313</v>
      </c>
      <c r="H176" s="59">
        <v>60</v>
      </c>
    </row>
    <row r="177" spans="1:8">
      <c r="A177" s="31">
        <v>46174</v>
      </c>
      <c r="B177" t="s">
        <v>159</v>
      </c>
      <c r="C177" t="b">
        <v>0</v>
      </c>
      <c r="D177" t="s">
        <v>323</v>
      </c>
      <c r="E177" t="s">
        <v>388</v>
      </c>
      <c r="F177" t="s">
        <v>170</v>
      </c>
      <c r="G177" t="s">
        <v>389</v>
      </c>
      <c r="H177" s="59">
        <v>56</v>
      </c>
    </row>
    <row r="178" spans="1:8">
      <c r="A178" s="31">
        <v>46174</v>
      </c>
      <c r="B178" t="s">
        <v>159</v>
      </c>
      <c r="C178" t="b">
        <v>0</v>
      </c>
      <c r="D178" t="s">
        <v>323</v>
      </c>
      <c r="E178" t="s">
        <v>393</v>
      </c>
      <c r="F178" t="s">
        <v>171</v>
      </c>
      <c r="G178" t="s">
        <v>251</v>
      </c>
      <c r="H178" s="59">
        <v>50</v>
      </c>
    </row>
    <row r="179" spans="1:8">
      <c r="A179" s="31">
        <v>46174</v>
      </c>
      <c r="B179" t="s">
        <v>159</v>
      </c>
      <c r="C179" t="b">
        <v>0</v>
      </c>
      <c r="D179" t="s">
        <v>323</v>
      </c>
      <c r="E179" t="s">
        <v>398</v>
      </c>
      <c r="F179" t="s">
        <v>170</v>
      </c>
      <c r="G179" t="s">
        <v>364</v>
      </c>
      <c r="H179" s="59">
        <v>50</v>
      </c>
    </row>
    <row r="180" spans="1:8">
      <c r="A180" s="31">
        <v>46174</v>
      </c>
      <c r="B180" t="s">
        <v>159</v>
      </c>
      <c r="C180" t="b">
        <v>0</v>
      </c>
      <c r="D180" t="s">
        <v>323</v>
      </c>
      <c r="E180" t="s">
        <v>403</v>
      </c>
      <c r="F180" t="s">
        <v>172</v>
      </c>
      <c r="G180" t="s">
        <v>325</v>
      </c>
      <c r="H180" s="59">
        <v>64</v>
      </c>
    </row>
    <row r="181" spans="1:8">
      <c r="A181" s="31">
        <v>46174</v>
      </c>
      <c r="B181" t="s">
        <v>159</v>
      </c>
      <c r="C181" t="b">
        <v>0</v>
      </c>
      <c r="D181" t="s">
        <v>323</v>
      </c>
      <c r="E181" t="s">
        <v>407</v>
      </c>
      <c r="F181" t="s">
        <v>170</v>
      </c>
      <c r="G181" t="s">
        <v>389</v>
      </c>
    </row>
    <row r="182" spans="1:8">
      <c r="A182" s="31">
        <v>46174</v>
      </c>
      <c r="B182" t="s">
        <v>159</v>
      </c>
      <c r="C182" t="b">
        <v>0</v>
      </c>
      <c r="D182" t="s">
        <v>323</v>
      </c>
      <c r="E182" t="s">
        <v>411</v>
      </c>
      <c r="F182" t="s">
        <v>170</v>
      </c>
      <c r="G182" t="s">
        <v>389</v>
      </c>
      <c r="H182" s="59">
        <v>68</v>
      </c>
    </row>
    <row r="183" spans="1:8">
      <c r="A183" s="31">
        <v>46174</v>
      </c>
      <c r="B183" t="s">
        <v>159</v>
      </c>
      <c r="C183" t="b">
        <v>0</v>
      </c>
      <c r="D183" t="s">
        <v>416</v>
      </c>
      <c r="E183" t="s">
        <v>417</v>
      </c>
      <c r="F183" t="s">
        <v>173</v>
      </c>
      <c r="G183" t="s">
        <v>224</v>
      </c>
      <c r="H183" s="59">
        <v>72</v>
      </c>
    </row>
    <row r="184" spans="1:8">
      <c r="A184" s="31">
        <v>46174</v>
      </c>
      <c r="B184" t="s">
        <v>159</v>
      </c>
      <c r="C184" t="b">
        <v>0</v>
      </c>
      <c r="D184" t="s">
        <v>416</v>
      </c>
      <c r="E184" t="s">
        <v>422</v>
      </c>
      <c r="F184" t="s">
        <v>263</v>
      </c>
      <c r="G184" t="s">
        <v>263</v>
      </c>
    </row>
    <row r="185" spans="1:8">
      <c r="A185" s="31">
        <v>46174</v>
      </c>
      <c r="B185" t="s">
        <v>159</v>
      </c>
      <c r="C185" t="b">
        <v>0</v>
      </c>
      <c r="D185" t="s">
        <v>416</v>
      </c>
      <c r="E185" t="s">
        <v>426</v>
      </c>
      <c r="F185" t="s">
        <v>263</v>
      </c>
      <c r="G185" t="s">
        <v>263</v>
      </c>
    </row>
    <row r="186" spans="1:8">
      <c r="A186" s="31">
        <v>46174</v>
      </c>
      <c r="B186" t="s">
        <v>159</v>
      </c>
      <c r="C186" t="b">
        <v>0</v>
      </c>
      <c r="D186" t="s">
        <v>416</v>
      </c>
      <c r="E186" t="s">
        <v>429</v>
      </c>
      <c r="F186" t="s">
        <v>263</v>
      </c>
      <c r="G186" t="s">
        <v>263</v>
      </c>
    </row>
    <row r="187" spans="1:8">
      <c r="A187" s="31">
        <v>46174</v>
      </c>
      <c r="B187" t="s">
        <v>159</v>
      </c>
      <c r="C187" t="b">
        <v>0</v>
      </c>
      <c r="D187" t="s">
        <v>416</v>
      </c>
      <c r="E187" t="s">
        <v>432</v>
      </c>
      <c r="F187" t="s">
        <v>263</v>
      </c>
      <c r="G187" t="s">
        <v>263</v>
      </c>
    </row>
    <row r="188" spans="1:8">
      <c r="A188" s="31">
        <v>46174</v>
      </c>
      <c r="B188" t="s">
        <v>159</v>
      </c>
      <c r="C188" t="b">
        <v>0</v>
      </c>
      <c r="D188" t="s">
        <v>416</v>
      </c>
      <c r="E188" t="s">
        <v>436</v>
      </c>
      <c r="F188" t="s">
        <v>263</v>
      </c>
      <c r="G188" t="s">
        <v>263</v>
      </c>
    </row>
    <row r="189" spans="1:8">
      <c r="A189" s="31">
        <v>46174</v>
      </c>
      <c r="B189" t="s">
        <v>159</v>
      </c>
      <c r="C189" t="b">
        <v>0</v>
      </c>
      <c r="D189" t="s">
        <v>416</v>
      </c>
      <c r="E189" t="s">
        <v>439</v>
      </c>
      <c r="F189" t="s">
        <v>263</v>
      </c>
      <c r="G189" t="s">
        <v>263</v>
      </c>
    </row>
    <row r="190" spans="1:8">
      <c r="A190" s="31">
        <v>46174</v>
      </c>
      <c r="B190" t="s">
        <v>159</v>
      </c>
      <c r="C190" t="b">
        <v>0</v>
      </c>
      <c r="D190" t="s">
        <v>416</v>
      </c>
      <c r="E190" t="s">
        <v>442</v>
      </c>
      <c r="F190" t="s">
        <v>263</v>
      </c>
      <c r="G190" t="s">
        <v>263</v>
      </c>
    </row>
    <row r="191" spans="1:8">
      <c r="A191" s="31">
        <v>46174</v>
      </c>
      <c r="B191" t="s">
        <v>159</v>
      </c>
      <c r="C191" t="b">
        <v>0</v>
      </c>
      <c r="D191" t="s">
        <v>416</v>
      </c>
      <c r="E191" t="s">
        <v>445</v>
      </c>
      <c r="F191" t="s">
        <v>263</v>
      </c>
      <c r="G191" t="s">
        <v>263</v>
      </c>
    </row>
    <row r="192" spans="1:8">
      <c r="A192" s="31">
        <v>46174</v>
      </c>
      <c r="B192" t="s">
        <v>159</v>
      </c>
      <c r="C192" t="b">
        <v>0</v>
      </c>
      <c r="D192" t="s">
        <v>416</v>
      </c>
      <c r="E192" t="s">
        <v>448</v>
      </c>
      <c r="F192" t="s">
        <v>173</v>
      </c>
      <c r="G192" t="s">
        <v>449</v>
      </c>
    </row>
    <row r="193" spans="1:8">
      <c r="A193" s="31">
        <v>46174</v>
      </c>
      <c r="B193" t="s">
        <v>159</v>
      </c>
      <c r="C193" t="b">
        <v>0</v>
      </c>
      <c r="D193" t="s">
        <v>416</v>
      </c>
      <c r="E193" t="s">
        <v>452</v>
      </c>
      <c r="F193" t="s">
        <v>173</v>
      </c>
      <c r="G193" t="s">
        <v>449</v>
      </c>
      <c r="H193" s="59">
        <v>62</v>
      </c>
    </row>
    <row r="194" spans="1:8">
      <c r="A194" s="31">
        <v>46174</v>
      </c>
      <c r="B194" t="s">
        <v>159</v>
      </c>
      <c r="C194" t="b">
        <v>0</v>
      </c>
      <c r="D194" t="s">
        <v>457</v>
      </c>
      <c r="E194" t="s">
        <v>458</v>
      </c>
      <c r="F194" t="s">
        <v>170</v>
      </c>
      <c r="G194" t="s">
        <v>353</v>
      </c>
      <c r="H194" s="59">
        <v>54</v>
      </c>
    </row>
    <row r="195" spans="1:8">
      <c r="A195" s="31">
        <v>46174</v>
      </c>
      <c r="B195" t="s">
        <v>159</v>
      </c>
      <c r="C195" t="b">
        <v>0</v>
      </c>
      <c r="D195" t="s">
        <v>457</v>
      </c>
      <c r="E195" t="s">
        <v>462</v>
      </c>
      <c r="F195" t="s">
        <v>263</v>
      </c>
      <c r="G195" t="s">
        <v>263</v>
      </c>
    </row>
    <row r="196" spans="1:8">
      <c r="A196" s="31">
        <v>46174</v>
      </c>
      <c r="B196" t="s">
        <v>159</v>
      </c>
      <c r="C196" t="b">
        <v>0</v>
      </c>
      <c r="D196" t="s">
        <v>457</v>
      </c>
      <c r="E196" t="s">
        <v>465</v>
      </c>
      <c r="F196" t="s">
        <v>173</v>
      </c>
      <c r="G196" t="s">
        <v>278</v>
      </c>
      <c r="H196" s="59">
        <v>30</v>
      </c>
    </row>
    <row r="197" spans="1:8">
      <c r="A197" s="31">
        <v>46174</v>
      </c>
      <c r="B197" t="s">
        <v>159</v>
      </c>
      <c r="C197" t="b">
        <v>0</v>
      </c>
      <c r="D197" t="s">
        <v>457</v>
      </c>
      <c r="E197" t="s">
        <v>469</v>
      </c>
      <c r="F197" t="s">
        <v>173</v>
      </c>
      <c r="G197" t="s">
        <v>278</v>
      </c>
      <c r="H197" s="59">
        <v>28</v>
      </c>
    </row>
    <row r="198" spans="1:8">
      <c r="A198" s="31">
        <v>46174</v>
      </c>
      <c r="B198" t="s">
        <v>159</v>
      </c>
      <c r="C198" t="b">
        <v>0</v>
      </c>
      <c r="D198" t="s">
        <v>457</v>
      </c>
      <c r="E198" t="s">
        <v>473</v>
      </c>
      <c r="F198" t="s">
        <v>172</v>
      </c>
      <c r="G198" t="s">
        <v>334</v>
      </c>
      <c r="H198" s="59">
        <v>34</v>
      </c>
    </row>
    <row r="199" spans="1:8">
      <c r="A199" s="31">
        <v>46174</v>
      </c>
      <c r="B199" t="s">
        <v>159</v>
      </c>
      <c r="C199" t="b">
        <v>0</v>
      </c>
      <c r="D199" t="s">
        <v>457</v>
      </c>
      <c r="E199" t="s">
        <v>476</v>
      </c>
      <c r="F199" t="s">
        <v>172</v>
      </c>
      <c r="G199" t="s">
        <v>477</v>
      </c>
      <c r="H199" s="59">
        <v>22</v>
      </c>
    </row>
    <row r="200" spans="1:8">
      <c r="A200" s="31">
        <v>46174</v>
      </c>
      <c r="B200" t="s">
        <v>159</v>
      </c>
      <c r="C200" t="b">
        <v>0</v>
      </c>
      <c r="D200" t="s">
        <v>457</v>
      </c>
      <c r="E200" t="s">
        <v>480</v>
      </c>
      <c r="F200" t="s">
        <v>173</v>
      </c>
      <c r="G200" t="s">
        <v>278</v>
      </c>
      <c r="H200" s="59">
        <v>28</v>
      </c>
    </row>
    <row r="201" spans="1:8">
      <c r="A201" s="31">
        <v>46174</v>
      </c>
      <c r="B201" t="s">
        <v>159</v>
      </c>
      <c r="C201" t="b">
        <v>0</v>
      </c>
      <c r="D201" t="s">
        <v>457</v>
      </c>
      <c r="E201" t="s">
        <v>484</v>
      </c>
      <c r="F201" t="s">
        <v>173</v>
      </c>
      <c r="G201" t="s">
        <v>278</v>
      </c>
      <c r="H201" s="59">
        <v>30</v>
      </c>
    </row>
    <row r="202" spans="1:8">
      <c r="A202" s="31">
        <v>46174</v>
      </c>
      <c r="B202" t="s">
        <v>159</v>
      </c>
      <c r="C202" t="b">
        <v>0</v>
      </c>
      <c r="D202" t="s">
        <v>457</v>
      </c>
      <c r="E202" t="s">
        <v>487</v>
      </c>
      <c r="F202" t="s">
        <v>173</v>
      </c>
      <c r="G202" t="s">
        <v>278</v>
      </c>
      <c r="H202" s="59">
        <v>0</v>
      </c>
    </row>
    <row r="203" spans="1:8">
      <c r="A203" s="31">
        <v>46174</v>
      </c>
      <c r="B203" t="s">
        <v>159</v>
      </c>
      <c r="C203" t="b">
        <v>0</v>
      </c>
      <c r="D203" t="s">
        <v>492</v>
      </c>
      <c r="E203" t="s">
        <v>493</v>
      </c>
      <c r="F203" t="s">
        <v>171</v>
      </c>
      <c r="G203" t="s">
        <v>231</v>
      </c>
      <c r="H203" s="59">
        <v>62</v>
      </c>
    </row>
    <row r="204" spans="1:8">
      <c r="A204" s="31">
        <v>46174</v>
      </c>
      <c r="B204" t="s">
        <v>159</v>
      </c>
      <c r="C204" t="b">
        <v>0</v>
      </c>
      <c r="D204" t="s">
        <v>492</v>
      </c>
      <c r="E204" t="s">
        <v>498</v>
      </c>
      <c r="F204" t="s">
        <v>170</v>
      </c>
      <c r="G204" t="s">
        <v>313</v>
      </c>
      <c r="H204" s="59">
        <v>68</v>
      </c>
    </row>
    <row r="205" spans="1:8">
      <c r="A205" s="31">
        <v>46174</v>
      </c>
      <c r="B205" t="s">
        <v>159</v>
      </c>
      <c r="C205" t="b">
        <v>0</v>
      </c>
      <c r="D205" t="s">
        <v>492</v>
      </c>
      <c r="E205" t="s">
        <v>501</v>
      </c>
      <c r="F205" t="s">
        <v>170</v>
      </c>
      <c r="G205" t="s">
        <v>313</v>
      </c>
      <c r="H205" s="59">
        <v>64</v>
      </c>
    </row>
    <row r="206" spans="1:8">
      <c r="A206" s="31">
        <v>46174</v>
      </c>
      <c r="B206" t="s">
        <v>161</v>
      </c>
      <c r="C206" t="b">
        <v>0</v>
      </c>
      <c r="D206" t="s">
        <v>191</v>
      </c>
      <c r="E206" t="s">
        <v>192</v>
      </c>
      <c r="F206" t="s">
        <v>171</v>
      </c>
      <c r="G206" t="s">
        <v>194</v>
      </c>
      <c r="H206" s="59">
        <v>86</v>
      </c>
    </row>
    <row r="207" spans="1:8">
      <c r="A207" s="31">
        <v>46174</v>
      </c>
      <c r="B207" t="s">
        <v>161</v>
      </c>
      <c r="C207" t="b">
        <v>0</v>
      </c>
      <c r="D207" t="s">
        <v>191</v>
      </c>
      <c r="E207" t="s">
        <v>199</v>
      </c>
      <c r="F207" t="s">
        <v>171</v>
      </c>
      <c r="G207" t="s">
        <v>194</v>
      </c>
      <c r="H207" s="59">
        <v>66</v>
      </c>
    </row>
    <row r="208" spans="1:8">
      <c r="A208" s="31">
        <v>46174</v>
      </c>
      <c r="B208" t="s">
        <v>161</v>
      </c>
      <c r="C208" t="b">
        <v>0</v>
      </c>
      <c r="D208" t="s">
        <v>191</v>
      </c>
      <c r="E208" t="s">
        <v>204</v>
      </c>
      <c r="F208" t="s">
        <v>171</v>
      </c>
      <c r="G208" t="s">
        <v>194</v>
      </c>
      <c r="H208" s="59">
        <v>88</v>
      </c>
    </row>
    <row r="209" spans="1:8">
      <c r="A209" s="31">
        <v>46174</v>
      </c>
      <c r="B209" t="s">
        <v>161</v>
      </c>
      <c r="C209" t="b">
        <v>0</v>
      </c>
      <c r="D209" t="s">
        <v>191</v>
      </c>
      <c r="E209" t="s">
        <v>209</v>
      </c>
      <c r="F209" t="s">
        <v>171</v>
      </c>
      <c r="G209" t="s">
        <v>194</v>
      </c>
      <c r="H209" s="59">
        <v>56</v>
      </c>
    </row>
    <row r="210" spans="1:8">
      <c r="A210" s="31">
        <v>46174</v>
      </c>
      <c r="B210" t="s">
        <v>161</v>
      </c>
      <c r="C210" t="b">
        <v>0</v>
      </c>
      <c r="D210" t="s">
        <v>191</v>
      </c>
      <c r="E210" t="s">
        <v>214</v>
      </c>
      <c r="F210" t="s">
        <v>171</v>
      </c>
      <c r="G210" t="s">
        <v>194</v>
      </c>
      <c r="H210" s="59">
        <v>62</v>
      </c>
    </row>
    <row r="211" spans="1:8">
      <c r="A211" s="31">
        <v>46174</v>
      </c>
      <c r="B211" t="s">
        <v>161</v>
      </c>
      <c r="C211" t="b">
        <v>0</v>
      </c>
      <c r="D211" t="s">
        <v>191</v>
      </c>
      <c r="E211" t="s">
        <v>219</v>
      </c>
      <c r="F211" t="s">
        <v>171</v>
      </c>
      <c r="G211" t="s">
        <v>194</v>
      </c>
      <c r="H211" s="59">
        <v>82</v>
      </c>
    </row>
    <row r="212" spans="1:8">
      <c r="A212" s="31">
        <v>46174</v>
      </c>
      <c r="B212" t="s">
        <v>161</v>
      </c>
      <c r="C212" t="b">
        <v>0</v>
      </c>
      <c r="D212" t="s">
        <v>191</v>
      </c>
      <c r="E212" t="s">
        <v>223</v>
      </c>
      <c r="F212" t="s">
        <v>173</v>
      </c>
      <c r="G212" t="s">
        <v>224</v>
      </c>
      <c r="H212" s="59">
        <v>48</v>
      </c>
    </row>
    <row r="213" spans="1:8">
      <c r="A213" s="31">
        <v>46174</v>
      </c>
      <c r="B213" t="s">
        <v>161</v>
      </c>
      <c r="C213" t="b">
        <v>0</v>
      </c>
      <c r="D213" t="s">
        <v>191</v>
      </c>
      <c r="E213" t="s">
        <v>230</v>
      </c>
      <c r="F213" t="s">
        <v>171</v>
      </c>
      <c r="G213" t="s">
        <v>231</v>
      </c>
      <c r="H213" s="59">
        <v>42</v>
      </c>
    </row>
    <row r="214" spans="1:8">
      <c r="A214" s="31">
        <v>46174</v>
      </c>
      <c r="B214" t="s">
        <v>161</v>
      </c>
      <c r="C214" t="b">
        <v>0</v>
      </c>
      <c r="D214" t="s">
        <v>191</v>
      </c>
      <c r="E214" t="s">
        <v>236</v>
      </c>
      <c r="F214" t="s">
        <v>171</v>
      </c>
      <c r="G214" t="s">
        <v>231</v>
      </c>
    </row>
    <row r="215" spans="1:8">
      <c r="A215" s="31">
        <v>46174</v>
      </c>
      <c r="B215" t="s">
        <v>161</v>
      </c>
      <c r="C215" t="b">
        <v>0</v>
      </c>
      <c r="D215" t="s">
        <v>191</v>
      </c>
      <c r="E215" t="s">
        <v>240</v>
      </c>
      <c r="F215" t="s">
        <v>173</v>
      </c>
      <c r="G215" t="s">
        <v>241</v>
      </c>
      <c r="H215" s="59">
        <v>52</v>
      </c>
    </row>
    <row r="216" spans="1:8">
      <c r="A216" s="31">
        <v>46174</v>
      </c>
      <c r="B216" t="s">
        <v>161</v>
      </c>
      <c r="C216" t="b">
        <v>0</v>
      </c>
      <c r="D216" t="s">
        <v>191</v>
      </c>
      <c r="E216" t="s">
        <v>246</v>
      </c>
      <c r="F216" t="s">
        <v>171</v>
      </c>
      <c r="G216" t="s">
        <v>231</v>
      </c>
      <c r="H216" s="59">
        <v>56</v>
      </c>
    </row>
    <row r="217" spans="1:8">
      <c r="A217" s="31">
        <v>46174</v>
      </c>
      <c r="B217" t="s">
        <v>161</v>
      </c>
      <c r="C217" t="b">
        <v>0</v>
      </c>
      <c r="D217" t="s">
        <v>191</v>
      </c>
      <c r="E217" t="s">
        <v>250</v>
      </c>
      <c r="F217" t="s">
        <v>171</v>
      </c>
      <c r="G217" t="s">
        <v>251</v>
      </c>
      <c r="H217" s="59">
        <v>76</v>
      </c>
    </row>
    <row r="218" spans="1:8">
      <c r="A218" s="31">
        <v>46174</v>
      </c>
      <c r="B218" t="s">
        <v>161</v>
      </c>
      <c r="C218" t="b">
        <v>0</v>
      </c>
      <c r="D218" t="s">
        <v>191</v>
      </c>
      <c r="E218" t="s">
        <v>256</v>
      </c>
      <c r="F218" t="s">
        <v>173</v>
      </c>
      <c r="G218" t="s">
        <v>241</v>
      </c>
      <c r="H218" s="59">
        <v>70</v>
      </c>
    </row>
    <row r="219" spans="1:8">
      <c r="A219" s="31">
        <v>46174</v>
      </c>
      <c r="B219" t="s">
        <v>161</v>
      </c>
      <c r="C219" t="b">
        <v>0</v>
      </c>
      <c r="D219" t="s">
        <v>191</v>
      </c>
      <c r="E219" t="s">
        <v>261</v>
      </c>
      <c r="F219" t="s">
        <v>263</v>
      </c>
      <c r="G219" t="s">
        <v>263</v>
      </c>
    </row>
    <row r="220" spans="1:8">
      <c r="A220" s="31">
        <v>46174</v>
      </c>
      <c r="B220" t="s">
        <v>161</v>
      </c>
      <c r="C220" t="b">
        <v>0</v>
      </c>
      <c r="D220" t="s">
        <v>191</v>
      </c>
      <c r="E220" t="s">
        <v>267</v>
      </c>
      <c r="F220" t="s">
        <v>263</v>
      </c>
      <c r="G220" t="s">
        <v>263</v>
      </c>
    </row>
    <row r="221" spans="1:8">
      <c r="A221" s="31">
        <v>46174</v>
      </c>
      <c r="B221" t="s">
        <v>161</v>
      </c>
      <c r="C221" t="b">
        <v>0</v>
      </c>
      <c r="D221" t="s">
        <v>191</v>
      </c>
      <c r="E221" t="s">
        <v>272</v>
      </c>
      <c r="F221" t="s">
        <v>173</v>
      </c>
      <c r="G221" t="s">
        <v>273</v>
      </c>
      <c r="H221" s="59">
        <v>64</v>
      </c>
    </row>
    <row r="222" spans="1:8">
      <c r="A222" s="31">
        <v>46174</v>
      </c>
      <c r="B222" t="s">
        <v>161</v>
      </c>
      <c r="C222" t="b">
        <v>0</v>
      </c>
      <c r="D222" t="s">
        <v>191</v>
      </c>
      <c r="E222" t="s">
        <v>277</v>
      </c>
      <c r="F222" t="s">
        <v>173</v>
      </c>
      <c r="G222" t="s">
        <v>278</v>
      </c>
      <c r="H222" s="59">
        <v>56</v>
      </c>
    </row>
    <row r="223" spans="1:8">
      <c r="A223" s="31">
        <v>46174</v>
      </c>
      <c r="B223" t="s">
        <v>161</v>
      </c>
      <c r="C223" t="b">
        <v>0</v>
      </c>
      <c r="D223" t="s">
        <v>191</v>
      </c>
      <c r="E223" t="s">
        <v>283</v>
      </c>
      <c r="F223" t="s">
        <v>170</v>
      </c>
      <c r="G223" t="s">
        <v>284</v>
      </c>
      <c r="H223" s="59">
        <v>64</v>
      </c>
    </row>
    <row r="224" spans="1:8">
      <c r="A224" s="31">
        <v>46174</v>
      </c>
      <c r="B224" t="s">
        <v>161</v>
      </c>
      <c r="C224" t="b">
        <v>0</v>
      </c>
      <c r="D224" t="s">
        <v>191</v>
      </c>
      <c r="E224" t="s">
        <v>288</v>
      </c>
      <c r="F224" t="s">
        <v>170</v>
      </c>
      <c r="G224" t="s">
        <v>284</v>
      </c>
      <c r="H224" s="59">
        <v>58</v>
      </c>
    </row>
    <row r="225" spans="1:8">
      <c r="A225" s="31">
        <v>46174</v>
      </c>
      <c r="B225" t="s">
        <v>161</v>
      </c>
      <c r="C225" t="b">
        <v>0</v>
      </c>
      <c r="D225" t="s">
        <v>191</v>
      </c>
      <c r="E225" t="s">
        <v>292</v>
      </c>
      <c r="F225" t="s">
        <v>171</v>
      </c>
      <c r="G225" t="s">
        <v>194</v>
      </c>
      <c r="H225" s="59">
        <v>42</v>
      </c>
    </row>
    <row r="226" spans="1:8">
      <c r="A226" s="31">
        <v>46174</v>
      </c>
      <c r="B226" t="s">
        <v>161</v>
      </c>
      <c r="C226" t="b">
        <v>0</v>
      </c>
      <c r="D226" t="s">
        <v>191</v>
      </c>
      <c r="E226" t="s">
        <v>297</v>
      </c>
      <c r="F226" t="s">
        <v>171</v>
      </c>
      <c r="G226" t="s">
        <v>194</v>
      </c>
      <c r="H226" s="59">
        <v>60</v>
      </c>
    </row>
    <row r="227" spans="1:8">
      <c r="A227" s="31">
        <v>46174</v>
      </c>
      <c r="B227" t="s">
        <v>161</v>
      </c>
      <c r="C227" t="b">
        <v>0</v>
      </c>
      <c r="D227" t="s">
        <v>191</v>
      </c>
      <c r="E227" t="s">
        <v>302</v>
      </c>
      <c r="F227" t="s">
        <v>171</v>
      </c>
      <c r="G227" t="s">
        <v>194</v>
      </c>
      <c r="H227" s="59">
        <v>50</v>
      </c>
    </row>
    <row r="228" spans="1:8">
      <c r="A228" s="31">
        <v>46174</v>
      </c>
      <c r="B228" t="s">
        <v>161</v>
      </c>
      <c r="C228" t="b">
        <v>0</v>
      </c>
      <c r="D228" t="s">
        <v>191</v>
      </c>
      <c r="E228" t="s">
        <v>307</v>
      </c>
      <c r="F228" t="s">
        <v>173</v>
      </c>
      <c r="G228" t="s">
        <v>241</v>
      </c>
      <c r="H228" s="59">
        <v>58</v>
      </c>
    </row>
    <row r="229" spans="1:8">
      <c r="A229" s="31">
        <v>46174</v>
      </c>
      <c r="B229" t="s">
        <v>161</v>
      </c>
      <c r="C229" t="b">
        <v>0</v>
      </c>
      <c r="D229" t="s">
        <v>191</v>
      </c>
      <c r="E229" t="s">
        <v>312</v>
      </c>
      <c r="F229" t="s">
        <v>170</v>
      </c>
      <c r="G229" t="s">
        <v>313</v>
      </c>
      <c r="H229" s="59">
        <v>58</v>
      </c>
    </row>
    <row r="230" spans="1:8">
      <c r="A230" s="31">
        <v>46174</v>
      </c>
      <c r="B230" t="s">
        <v>161</v>
      </c>
      <c r="C230" t="b">
        <v>0</v>
      </c>
      <c r="D230" t="s">
        <v>191</v>
      </c>
      <c r="E230" t="s">
        <v>318</v>
      </c>
      <c r="F230" t="s">
        <v>171</v>
      </c>
      <c r="G230" t="s">
        <v>194</v>
      </c>
      <c r="H230" s="59">
        <v>34</v>
      </c>
    </row>
    <row r="231" spans="1:8">
      <c r="A231" s="31">
        <v>46174</v>
      </c>
      <c r="B231" t="s">
        <v>161</v>
      </c>
      <c r="C231" t="b">
        <v>0</v>
      </c>
      <c r="D231" t="s">
        <v>323</v>
      </c>
      <c r="E231" t="s">
        <v>324</v>
      </c>
      <c r="F231" t="s">
        <v>172</v>
      </c>
      <c r="G231" t="s">
        <v>325</v>
      </c>
      <c r="H231" s="59">
        <v>70</v>
      </c>
    </row>
    <row r="232" spans="1:8">
      <c r="A232" s="31">
        <v>46174</v>
      </c>
      <c r="B232" t="s">
        <v>161</v>
      </c>
      <c r="C232" t="b">
        <v>0</v>
      </c>
      <c r="D232" t="s">
        <v>323</v>
      </c>
      <c r="E232" t="s">
        <v>329</v>
      </c>
      <c r="F232" t="s">
        <v>171</v>
      </c>
      <c r="G232" t="s">
        <v>330</v>
      </c>
      <c r="H232" s="59">
        <v>68</v>
      </c>
    </row>
    <row r="233" spans="1:8">
      <c r="A233" s="31">
        <v>46174</v>
      </c>
      <c r="B233" t="s">
        <v>161</v>
      </c>
      <c r="C233" t="b">
        <v>0</v>
      </c>
      <c r="D233" t="s">
        <v>323</v>
      </c>
      <c r="E233" t="s">
        <v>333</v>
      </c>
      <c r="F233" t="s">
        <v>172</v>
      </c>
      <c r="G233" t="s">
        <v>334</v>
      </c>
      <c r="H233" s="59">
        <v>70</v>
      </c>
    </row>
    <row r="234" spans="1:8">
      <c r="A234" s="31">
        <v>46174</v>
      </c>
      <c r="B234" t="s">
        <v>161</v>
      </c>
      <c r="C234" t="b">
        <v>0</v>
      </c>
      <c r="D234" t="s">
        <v>323</v>
      </c>
      <c r="E234" t="s">
        <v>339</v>
      </c>
      <c r="F234" t="s">
        <v>172</v>
      </c>
      <c r="G234" t="s">
        <v>325</v>
      </c>
    </row>
    <row r="235" spans="1:8">
      <c r="A235" s="31">
        <v>46174</v>
      </c>
      <c r="B235" t="s">
        <v>161</v>
      </c>
      <c r="C235" t="b">
        <v>0</v>
      </c>
      <c r="D235" t="s">
        <v>323</v>
      </c>
      <c r="E235" t="s">
        <v>343</v>
      </c>
      <c r="F235" t="s">
        <v>171</v>
      </c>
      <c r="G235" t="s">
        <v>330</v>
      </c>
      <c r="H235" s="59">
        <v>66</v>
      </c>
    </row>
    <row r="236" spans="1:8">
      <c r="A236" s="31">
        <v>46174</v>
      </c>
      <c r="B236" t="s">
        <v>161</v>
      </c>
      <c r="C236" t="b">
        <v>0</v>
      </c>
      <c r="D236" t="s">
        <v>323</v>
      </c>
      <c r="E236" t="s">
        <v>347</v>
      </c>
      <c r="F236" t="s">
        <v>170</v>
      </c>
      <c r="G236" t="s">
        <v>284</v>
      </c>
      <c r="H236" s="59">
        <v>74</v>
      </c>
    </row>
    <row r="237" spans="1:8">
      <c r="A237" s="31">
        <v>46174</v>
      </c>
      <c r="B237" t="s">
        <v>161</v>
      </c>
      <c r="C237" t="b">
        <v>0</v>
      </c>
      <c r="D237" t="s">
        <v>323</v>
      </c>
      <c r="E237" t="s">
        <v>352</v>
      </c>
      <c r="F237" t="s">
        <v>170</v>
      </c>
      <c r="G237" t="s">
        <v>353</v>
      </c>
      <c r="H237" s="59">
        <v>70</v>
      </c>
    </row>
    <row r="238" spans="1:8">
      <c r="A238" s="31">
        <v>46174</v>
      </c>
      <c r="B238" t="s">
        <v>161</v>
      </c>
      <c r="C238" t="b">
        <v>0</v>
      </c>
      <c r="D238" t="s">
        <v>323</v>
      </c>
      <c r="E238" t="s">
        <v>358</v>
      </c>
      <c r="F238" t="s">
        <v>170</v>
      </c>
      <c r="G238" t="s">
        <v>284</v>
      </c>
      <c r="H238" s="59">
        <v>68</v>
      </c>
    </row>
    <row r="239" spans="1:8">
      <c r="A239" s="31">
        <v>46174</v>
      </c>
      <c r="B239" t="s">
        <v>161</v>
      </c>
      <c r="C239" t="b">
        <v>0</v>
      </c>
      <c r="D239" t="s">
        <v>323</v>
      </c>
      <c r="E239" t="s">
        <v>363</v>
      </c>
      <c r="F239" t="s">
        <v>170</v>
      </c>
      <c r="G239" t="s">
        <v>364</v>
      </c>
      <c r="H239" s="59">
        <v>70</v>
      </c>
    </row>
    <row r="240" spans="1:8">
      <c r="A240" s="31">
        <v>46174</v>
      </c>
      <c r="B240" t="s">
        <v>161</v>
      </c>
      <c r="C240" t="b">
        <v>0</v>
      </c>
      <c r="D240" t="s">
        <v>323</v>
      </c>
      <c r="E240" t="s">
        <v>369</v>
      </c>
      <c r="F240" t="s">
        <v>170</v>
      </c>
      <c r="G240" t="s">
        <v>313</v>
      </c>
      <c r="H240" s="59">
        <v>72</v>
      </c>
    </row>
    <row r="241" spans="1:8">
      <c r="A241" s="31">
        <v>46174</v>
      </c>
      <c r="B241" t="s">
        <v>161</v>
      </c>
      <c r="C241" t="b">
        <v>0</v>
      </c>
      <c r="D241" t="s">
        <v>323</v>
      </c>
      <c r="E241" t="s">
        <v>372</v>
      </c>
      <c r="F241" t="s">
        <v>170</v>
      </c>
      <c r="G241" t="s">
        <v>284</v>
      </c>
      <c r="H241" s="59">
        <v>70</v>
      </c>
    </row>
    <row r="242" spans="1:8">
      <c r="A242" s="31">
        <v>46174</v>
      </c>
      <c r="B242" t="s">
        <v>161</v>
      </c>
      <c r="C242" t="b">
        <v>0</v>
      </c>
      <c r="D242" t="s">
        <v>323</v>
      </c>
      <c r="E242" t="s">
        <v>377</v>
      </c>
      <c r="F242" t="s">
        <v>170</v>
      </c>
      <c r="G242" t="s">
        <v>284</v>
      </c>
      <c r="H242" s="59">
        <v>70</v>
      </c>
    </row>
    <row r="243" spans="1:8">
      <c r="A243" s="31">
        <v>46174</v>
      </c>
      <c r="B243" t="s">
        <v>161</v>
      </c>
      <c r="C243" t="b">
        <v>0</v>
      </c>
      <c r="D243" t="s">
        <v>323</v>
      </c>
      <c r="E243" t="s">
        <v>381</v>
      </c>
      <c r="F243" t="s">
        <v>170</v>
      </c>
      <c r="G243" t="s">
        <v>364</v>
      </c>
      <c r="H243" s="59">
        <v>70</v>
      </c>
    </row>
    <row r="244" spans="1:8">
      <c r="A244" s="31">
        <v>46174</v>
      </c>
      <c r="B244" t="s">
        <v>161</v>
      </c>
      <c r="C244" t="b">
        <v>0</v>
      </c>
      <c r="D244" t="s">
        <v>323</v>
      </c>
      <c r="E244" t="s">
        <v>384</v>
      </c>
      <c r="F244" t="s">
        <v>170</v>
      </c>
      <c r="G244" t="s">
        <v>313</v>
      </c>
      <c r="H244" s="59">
        <v>68</v>
      </c>
    </row>
    <row r="245" spans="1:8">
      <c r="A245" s="31">
        <v>46174</v>
      </c>
      <c r="B245" t="s">
        <v>161</v>
      </c>
      <c r="C245" t="b">
        <v>0</v>
      </c>
      <c r="D245" t="s">
        <v>323</v>
      </c>
      <c r="E245" t="s">
        <v>388</v>
      </c>
      <c r="F245" t="s">
        <v>170</v>
      </c>
      <c r="G245" t="s">
        <v>389</v>
      </c>
      <c r="H245" s="59">
        <v>68</v>
      </c>
    </row>
    <row r="246" spans="1:8">
      <c r="A246" s="31">
        <v>46174</v>
      </c>
      <c r="B246" t="s">
        <v>161</v>
      </c>
      <c r="C246" t="b">
        <v>0</v>
      </c>
      <c r="D246" t="s">
        <v>323</v>
      </c>
      <c r="E246" t="s">
        <v>393</v>
      </c>
      <c r="F246" t="s">
        <v>171</v>
      </c>
      <c r="G246" t="s">
        <v>251</v>
      </c>
      <c r="H246" s="59">
        <v>62</v>
      </c>
    </row>
    <row r="247" spans="1:8">
      <c r="A247" s="31">
        <v>46174</v>
      </c>
      <c r="B247" t="s">
        <v>161</v>
      </c>
      <c r="C247" t="b">
        <v>0</v>
      </c>
      <c r="D247" t="s">
        <v>323</v>
      </c>
      <c r="E247" t="s">
        <v>398</v>
      </c>
      <c r="F247" t="s">
        <v>170</v>
      </c>
      <c r="G247" t="s">
        <v>364</v>
      </c>
      <c r="H247" s="59">
        <v>70</v>
      </c>
    </row>
    <row r="248" spans="1:8">
      <c r="A248" s="31">
        <v>46174</v>
      </c>
      <c r="B248" t="s">
        <v>161</v>
      </c>
      <c r="C248" t="b">
        <v>0</v>
      </c>
      <c r="D248" t="s">
        <v>323</v>
      </c>
      <c r="E248" t="s">
        <v>403</v>
      </c>
      <c r="F248" t="s">
        <v>172</v>
      </c>
      <c r="G248" t="s">
        <v>325</v>
      </c>
      <c r="H248" s="59">
        <v>70</v>
      </c>
    </row>
    <row r="249" spans="1:8">
      <c r="A249" s="31">
        <v>46174</v>
      </c>
      <c r="B249" t="s">
        <v>161</v>
      </c>
      <c r="C249" t="b">
        <v>0</v>
      </c>
      <c r="D249" t="s">
        <v>323</v>
      </c>
      <c r="E249" t="s">
        <v>407</v>
      </c>
      <c r="F249" t="s">
        <v>170</v>
      </c>
      <c r="G249" t="s">
        <v>389</v>
      </c>
    </row>
    <row r="250" spans="1:8">
      <c r="A250" s="31">
        <v>46174</v>
      </c>
      <c r="B250" t="s">
        <v>161</v>
      </c>
      <c r="C250" t="b">
        <v>0</v>
      </c>
      <c r="D250" t="s">
        <v>323</v>
      </c>
      <c r="E250" t="s">
        <v>411</v>
      </c>
      <c r="F250" t="s">
        <v>170</v>
      </c>
      <c r="G250" t="s">
        <v>389</v>
      </c>
      <c r="H250" s="59">
        <v>70</v>
      </c>
    </row>
    <row r="251" spans="1:8">
      <c r="A251" s="31">
        <v>46174</v>
      </c>
      <c r="B251" t="s">
        <v>161</v>
      </c>
      <c r="C251" t="b">
        <v>0</v>
      </c>
      <c r="D251" t="s">
        <v>416</v>
      </c>
      <c r="E251" t="s">
        <v>417</v>
      </c>
      <c r="F251" t="s">
        <v>173</v>
      </c>
      <c r="G251" t="s">
        <v>224</v>
      </c>
      <c r="H251" s="59">
        <v>66</v>
      </c>
    </row>
    <row r="252" spans="1:8">
      <c r="A252" s="31">
        <v>46174</v>
      </c>
      <c r="B252" t="s">
        <v>161</v>
      </c>
      <c r="C252" t="b">
        <v>0</v>
      </c>
      <c r="D252" t="s">
        <v>416</v>
      </c>
      <c r="E252" t="s">
        <v>422</v>
      </c>
      <c r="F252" t="s">
        <v>263</v>
      </c>
      <c r="G252" t="s">
        <v>263</v>
      </c>
    </row>
    <row r="253" spans="1:8">
      <c r="A253" s="31">
        <v>46174</v>
      </c>
      <c r="B253" t="s">
        <v>161</v>
      </c>
      <c r="C253" t="b">
        <v>0</v>
      </c>
      <c r="D253" t="s">
        <v>416</v>
      </c>
      <c r="E253" t="s">
        <v>426</v>
      </c>
      <c r="F253" t="s">
        <v>263</v>
      </c>
      <c r="G253" t="s">
        <v>263</v>
      </c>
    </row>
    <row r="254" spans="1:8">
      <c r="A254" s="31">
        <v>46174</v>
      </c>
      <c r="B254" t="s">
        <v>161</v>
      </c>
      <c r="C254" t="b">
        <v>0</v>
      </c>
      <c r="D254" t="s">
        <v>416</v>
      </c>
      <c r="E254" t="s">
        <v>429</v>
      </c>
      <c r="F254" t="s">
        <v>263</v>
      </c>
      <c r="G254" t="s">
        <v>263</v>
      </c>
    </row>
    <row r="255" spans="1:8">
      <c r="A255" s="31">
        <v>46174</v>
      </c>
      <c r="B255" t="s">
        <v>161</v>
      </c>
      <c r="C255" t="b">
        <v>0</v>
      </c>
      <c r="D255" t="s">
        <v>416</v>
      </c>
      <c r="E255" t="s">
        <v>432</v>
      </c>
      <c r="F255" t="s">
        <v>263</v>
      </c>
      <c r="G255" t="s">
        <v>263</v>
      </c>
    </row>
    <row r="256" spans="1:8">
      <c r="A256" s="31">
        <v>46174</v>
      </c>
      <c r="B256" t="s">
        <v>161</v>
      </c>
      <c r="C256" t="b">
        <v>0</v>
      </c>
      <c r="D256" t="s">
        <v>416</v>
      </c>
      <c r="E256" t="s">
        <v>436</v>
      </c>
      <c r="F256" t="s">
        <v>263</v>
      </c>
      <c r="G256" t="s">
        <v>263</v>
      </c>
    </row>
    <row r="257" spans="1:8">
      <c r="A257" s="31">
        <v>46174</v>
      </c>
      <c r="B257" t="s">
        <v>161</v>
      </c>
      <c r="C257" t="b">
        <v>0</v>
      </c>
      <c r="D257" t="s">
        <v>416</v>
      </c>
      <c r="E257" t="s">
        <v>439</v>
      </c>
      <c r="F257" t="s">
        <v>263</v>
      </c>
      <c r="G257" t="s">
        <v>263</v>
      </c>
    </row>
    <row r="258" spans="1:8">
      <c r="A258" s="31">
        <v>46174</v>
      </c>
      <c r="B258" t="s">
        <v>161</v>
      </c>
      <c r="C258" t="b">
        <v>0</v>
      </c>
      <c r="D258" t="s">
        <v>416</v>
      </c>
      <c r="E258" t="s">
        <v>442</v>
      </c>
      <c r="F258" t="s">
        <v>263</v>
      </c>
      <c r="G258" t="s">
        <v>263</v>
      </c>
    </row>
    <row r="259" spans="1:8">
      <c r="A259" s="31">
        <v>46174</v>
      </c>
      <c r="B259" t="s">
        <v>161</v>
      </c>
      <c r="C259" t="b">
        <v>0</v>
      </c>
      <c r="D259" t="s">
        <v>416</v>
      </c>
      <c r="E259" t="s">
        <v>445</v>
      </c>
      <c r="F259" t="s">
        <v>263</v>
      </c>
      <c r="G259" t="s">
        <v>263</v>
      </c>
    </row>
    <row r="260" spans="1:8">
      <c r="A260" s="31">
        <v>46174</v>
      </c>
      <c r="B260" t="s">
        <v>161</v>
      </c>
      <c r="C260" t="b">
        <v>0</v>
      </c>
      <c r="D260" t="s">
        <v>416</v>
      </c>
      <c r="E260" t="s">
        <v>448</v>
      </c>
      <c r="F260" t="s">
        <v>173</v>
      </c>
      <c r="G260" t="s">
        <v>449</v>
      </c>
    </row>
    <row r="261" spans="1:8">
      <c r="A261" s="31">
        <v>46174</v>
      </c>
      <c r="B261" t="s">
        <v>161</v>
      </c>
      <c r="C261" t="b">
        <v>0</v>
      </c>
      <c r="D261" t="s">
        <v>416</v>
      </c>
      <c r="E261" t="s">
        <v>452</v>
      </c>
      <c r="F261" t="s">
        <v>173</v>
      </c>
      <c r="G261" t="s">
        <v>449</v>
      </c>
      <c r="H261" s="59">
        <v>58</v>
      </c>
    </row>
    <row r="262" spans="1:8">
      <c r="A262" s="31">
        <v>46174</v>
      </c>
      <c r="B262" t="s">
        <v>161</v>
      </c>
      <c r="C262" t="b">
        <v>0</v>
      </c>
      <c r="D262" t="s">
        <v>457</v>
      </c>
      <c r="E262" t="s">
        <v>458</v>
      </c>
      <c r="F262" t="s">
        <v>170</v>
      </c>
      <c r="G262" t="s">
        <v>353</v>
      </c>
      <c r="H262" s="59">
        <v>66</v>
      </c>
    </row>
    <row r="263" spans="1:8">
      <c r="A263" s="31">
        <v>46174</v>
      </c>
      <c r="B263" t="s">
        <v>161</v>
      </c>
      <c r="C263" t="b">
        <v>0</v>
      </c>
      <c r="D263" t="s">
        <v>457</v>
      </c>
      <c r="E263" t="s">
        <v>462</v>
      </c>
      <c r="F263" t="s">
        <v>263</v>
      </c>
      <c r="G263" t="s">
        <v>263</v>
      </c>
    </row>
    <row r="264" spans="1:8">
      <c r="A264" s="31">
        <v>46174</v>
      </c>
      <c r="B264" t="s">
        <v>161</v>
      </c>
      <c r="C264" t="b">
        <v>0</v>
      </c>
      <c r="D264" t="s">
        <v>457</v>
      </c>
      <c r="E264" t="s">
        <v>465</v>
      </c>
      <c r="F264" t="s">
        <v>173</v>
      </c>
      <c r="G264" t="s">
        <v>278</v>
      </c>
      <c r="H264" s="59">
        <v>30</v>
      </c>
    </row>
    <row r="265" spans="1:8">
      <c r="A265" s="31">
        <v>46174</v>
      </c>
      <c r="B265" t="s">
        <v>161</v>
      </c>
      <c r="C265" t="b">
        <v>0</v>
      </c>
      <c r="D265" t="s">
        <v>457</v>
      </c>
      <c r="E265" t="s">
        <v>469</v>
      </c>
      <c r="F265" t="s">
        <v>173</v>
      </c>
      <c r="G265" t="s">
        <v>278</v>
      </c>
      <c r="H265" s="59">
        <v>32</v>
      </c>
    </row>
    <row r="266" spans="1:8">
      <c r="A266" s="31">
        <v>46174</v>
      </c>
      <c r="B266" t="s">
        <v>161</v>
      </c>
      <c r="C266" t="b">
        <v>0</v>
      </c>
      <c r="D266" t="s">
        <v>457</v>
      </c>
      <c r="E266" t="s">
        <v>473</v>
      </c>
      <c r="F266" t="s">
        <v>172</v>
      </c>
      <c r="G266" t="s">
        <v>334</v>
      </c>
      <c r="H266" s="59">
        <v>34</v>
      </c>
    </row>
    <row r="267" spans="1:8">
      <c r="A267" s="31">
        <v>46174</v>
      </c>
      <c r="B267" t="s">
        <v>161</v>
      </c>
      <c r="C267" t="b">
        <v>0</v>
      </c>
      <c r="D267" t="s">
        <v>457</v>
      </c>
      <c r="E267" t="s">
        <v>476</v>
      </c>
      <c r="F267" t="s">
        <v>172</v>
      </c>
      <c r="G267" t="s">
        <v>477</v>
      </c>
      <c r="H267" s="59">
        <v>22</v>
      </c>
    </row>
    <row r="268" spans="1:8">
      <c r="A268" s="31">
        <v>46174</v>
      </c>
      <c r="B268" t="s">
        <v>161</v>
      </c>
      <c r="C268" t="b">
        <v>0</v>
      </c>
      <c r="D268" t="s">
        <v>457</v>
      </c>
      <c r="E268" t="s">
        <v>480</v>
      </c>
      <c r="F268" t="s">
        <v>173</v>
      </c>
      <c r="G268" t="s">
        <v>278</v>
      </c>
      <c r="H268" s="59">
        <v>28</v>
      </c>
    </row>
    <row r="269" spans="1:8">
      <c r="A269" s="31">
        <v>46174</v>
      </c>
      <c r="B269" t="s">
        <v>161</v>
      </c>
      <c r="C269" t="b">
        <v>0</v>
      </c>
      <c r="D269" t="s">
        <v>457</v>
      </c>
      <c r="E269" t="s">
        <v>484</v>
      </c>
      <c r="F269" t="s">
        <v>173</v>
      </c>
      <c r="G269" t="s">
        <v>278</v>
      </c>
      <c r="H269" s="59">
        <v>30</v>
      </c>
    </row>
    <row r="270" spans="1:8">
      <c r="A270" s="31">
        <v>46174</v>
      </c>
      <c r="B270" t="s">
        <v>161</v>
      </c>
      <c r="C270" t="b">
        <v>0</v>
      </c>
      <c r="D270" t="s">
        <v>457</v>
      </c>
      <c r="E270" t="s">
        <v>487</v>
      </c>
      <c r="F270" t="s">
        <v>173</v>
      </c>
      <c r="G270" t="s">
        <v>278</v>
      </c>
      <c r="H270" s="59">
        <v>0</v>
      </c>
    </row>
    <row r="271" spans="1:8">
      <c r="A271" s="31">
        <v>46174</v>
      </c>
      <c r="B271" t="s">
        <v>161</v>
      </c>
      <c r="C271" t="b">
        <v>0</v>
      </c>
      <c r="D271" t="s">
        <v>492</v>
      </c>
      <c r="E271" t="s">
        <v>493</v>
      </c>
      <c r="F271" t="s">
        <v>171</v>
      </c>
      <c r="G271" t="s">
        <v>231</v>
      </c>
      <c r="H271" s="59">
        <v>66</v>
      </c>
    </row>
    <row r="272" spans="1:8">
      <c r="A272" s="31">
        <v>46174</v>
      </c>
      <c r="B272" t="s">
        <v>161</v>
      </c>
      <c r="C272" t="b">
        <v>0</v>
      </c>
      <c r="D272" t="s">
        <v>492</v>
      </c>
      <c r="E272" t="s">
        <v>498</v>
      </c>
      <c r="F272" t="s">
        <v>170</v>
      </c>
      <c r="G272" t="s">
        <v>313</v>
      </c>
      <c r="H272" s="59">
        <v>70</v>
      </c>
    </row>
    <row r="273" spans="1:8">
      <c r="A273" s="31">
        <v>46174</v>
      </c>
      <c r="B273" t="s">
        <v>161</v>
      </c>
      <c r="C273" t="b">
        <v>0</v>
      </c>
      <c r="D273" t="s">
        <v>492</v>
      </c>
      <c r="E273" t="s">
        <v>501</v>
      </c>
      <c r="F273" t="s">
        <v>170</v>
      </c>
      <c r="G273" t="s">
        <v>313</v>
      </c>
      <c r="H273" s="59">
        <v>62</v>
      </c>
    </row>
    <row r="274" spans="1:8">
      <c r="A274" s="31"/>
    </row>
    <row r="275" spans="1:8">
      <c r="A275" s="31"/>
    </row>
    <row r="276" spans="1:8">
      <c r="A276" s="31"/>
    </row>
    <row r="277" spans="1:8">
      <c r="A277" s="31"/>
    </row>
    <row r="278" spans="1:8">
      <c r="A278" s="31"/>
    </row>
    <row r="279" spans="1:8">
      <c r="A279" s="31"/>
    </row>
    <row r="280" spans="1:8">
      <c r="A280" s="31"/>
    </row>
  </sheetData>
  <autoFilter ref="A1:H1"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6"/>
  <sheetViews>
    <sheetView workbookViewId="0">
      <pane ySplit="3" topLeftCell="A47" activePane="bottomLeft" state="frozen"/>
      <selection pane="bottomLeft" activeCell="C10" sqref="C10"/>
    </sheetView>
  </sheetViews>
  <sheetFormatPr defaultColWidth="8.85546875" defaultRowHeight="15"/>
  <cols>
    <col min="1" max="1" width="28" customWidth="1"/>
    <col min="2" max="2" width="34" customWidth="1"/>
    <col min="3" max="3" width="42" customWidth="1"/>
    <col min="4" max="4" width="18" customWidth="1"/>
    <col min="5" max="5" width="30" customWidth="1"/>
    <col min="6" max="6" width="95" customWidth="1"/>
    <col min="7" max="7" width="16" customWidth="1"/>
  </cols>
  <sheetData>
    <row r="1" spans="1:6" ht="27.95" customHeight="1">
      <c r="A1" s="78" t="s">
        <v>1085</v>
      </c>
      <c r="B1" s="81"/>
      <c r="C1" s="81"/>
      <c r="D1" s="81"/>
      <c r="E1" s="81"/>
      <c r="F1" s="81"/>
    </row>
    <row r="2" spans="1:6">
      <c r="A2" s="42"/>
      <c r="B2" s="42"/>
      <c r="C2" s="42"/>
      <c r="D2" s="42"/>
      <c r="E2" s="42"/>
      <c r="F2" s="42"/>
    </row>
    <row r="3" spans="1:6" ht="33.950000000000003" customHeight="1">
      <c r="A3" s="47" t="s">
        <v>1056</v>
      </c>
      <c r="B3" s="47" t="s">
        <v>153</v>
      </c>
      <c r="C3" s="47" t="s">
        <v>156</v>
      </c>
      <c r="D3" s="47" t="s">
        <v>159</v>
      </c>
      <c r="E3" s="47" t="s">
        <v>161</v>
      </c>
      <c r="F3" s="47" t="s">
        <v>1086</v>
      </c>
    </row>
    <row r="4" spans="1:6" ht="66" customHeight="1">
      <c r="A4" s="48" t="s">
        <v>170</v>
      </c>
      <c r="B4" s="49">
        <v>54.5</v>
      </c>
      <c r="C4" s="49">
        <v>71.3</v>
      </c>
      <c r="D4" s="49">
        <v>59.8</v>
      </c>
      <c r="E4" s="49">
        <v>68.5</v>
      </c>
      <c r="F4" s="43" t="s">
        <v>1087</v>
      </c>
    </row>
    <row r="5" spans="1:6" ht="66" customHeight="1">
      <c r="A5" s="48" t="s">
        <v>171</v>
      </c>
      <c r="B5" s="49">
        <v>57</v>
      </c>
      <c r="C5" s="49">
        <v>70.400000000000006</v>
      </c>
      <c r="D5" s="49">
        <v>64.3</v>
      </c>
      <c r="E5" s="49">
        <v>62.9</v>
      </c>
      <c r="F5" s="43" t="s">
        <v>1088</v>
      </c>
    </row>
    <row r="6" spans="1:6" ht="66" customHeight="1">
      <c r="A6" s="48" t="s">
        <v>172</v>
      </c>
      <c r="B6" s="49">
        <v>42</v>
      </c>
      <c r="C6" s="49">
        <v>50.5</v>
      </c>
      <c r="D6" s="49">
        <v>49.8</v>
      </c>
      <c r="E6" s="49">
        <v>51.7</v>
      </c>
      <c r="F6" s="43" t="s">
        <v>1089</v>
      </c>
    </row>
    <row r="7" spans="1:6" ht="66" customHeight="1">
      <c r="A7" s="48" t="s">
        <v>173</v>
      </c>
      <c r="B7" s="49">
        <v>48</v>
      </c>
      <c r="C7" s="49">
        <v>54.8</v>
      </c>
      <c r="D7" s="49">
        <v>50.9</v>
      </c>
      <c r="E7" s="49">
        <v>50.8</v>
      </c>
      <c r="F7" s="43" t="s">
        <v>1090</v>
      </c>
    </row>
    <row r="25" spans="1:7" ht="27.95" customHeight="1">
      <c r="A25" s="78" t="s">
        <v>1091</v>
      </c>
      <c r="B25" s="81"/>
      <c r="C25" s="81"/>
      <c r="D25" s="81"/>
      <c r="E25" s="81"/>
      <c r="F25" s="81"/>
      <c r="G25" s="81"/>
    </row>
    <row r="27" spans="1:7" ht="33.950000000000003" customHeight="1">
      <c r="A27" s="47" t="s">
        <v>1092</v>
      </c>
      <c r="B27" s="47" t="s">
        <v>1093</v>
      </c>
      <c r="C27" s="47" t="s">
        <v>181</v>
      </c>
      <c r="D27" s="47" t="s">
        <v>180</v>
      </c>
      <c r="E27" s="47" t="s">
        <v>1094</v>
      </c>
      <c r="F27" s="47" t="s">
        <v>1095</v>
      </c>
      <c r="G27" s="47" t="s">
        <v>1096</v>
      </c>
    </row>
    <row r="28" spans="1:7" ht="33.950000000000003" customHeight="1">
      <c r="A28" s="48" t="s">
        <v>1097</v>
      </c>
      <c r="B28" s="48" t="s">
        <v>1098</v>
      </c>
      <c r="C28" s="48" t="s">
        <v>417</v>
      </c>
      <c r="D28" s="48" t="s">
        <v>416</v>
      </c>
      <c r="E28" s="48" t="s">
        <v>173</v>
      </c>
      <c r="F28" s="48" t="s">
        <v>224</v>
      </c>
      <c r="G28" s="48" t="s">
        <v>225</v>
      </c>
    </row>
    <row r="29" spans="1:7" ht="33.950000000000003" customHeight="1">
      <c r="A29" s="48" t="s">
        <v>1097</v>
      </c>
      <c r="B29" s="48" t="s">
        <v>1098</v>
      </c>
      <c r="C29" s="48" t="s">
        <v>422</v>
      </c>
      <c r="D29" s="48" t="s">
        <v>416</v>
      </c>
      <c r="E29" s="48" t="s">
        <v>1099</v>
      </c>
      <c r="F29" s="48" t="s">
        <v>1099</v>
      </c>
      <c r="G29" s="48" t="s">
        <v>1100</v>
      </c>
    </row>
    <row r="30" spans="1:7" ht="33.950000000000003" customHeight="1">
      <c r="A30" s="48" t="s">
        <v>1097</v>
      </c>
      <c r="B30" s="48" t="s">
        <v>1098</v>
      </c>
      <c r="C30" s="48" t="s">
        <v>426</v>
      </c>
      <c r="D30" s="48" t="s">
        <v>416</v>
      </c>
      <c r="E30" s="48" t="s">
        <v>1099</v>
      </c>
      <c r="F30" s="48" t="s">
        <v>1099</v>
      </c>
      <c r="G30" s="48" t="s">
        <v>1100</v>
      </c>
    </row>
    <row r="31" spans="1:7" ht="33.950000000000003" customHeight="1">
      <c r="A31" s="48" t="s">
        <v>1097</v>
      </c>
      <c r="B31" s="48" t="s">
        <v>1098</v>
      </c>
      <c r="C31" s="48" t="s">
        <v>429</v>
      </c>
      <c r="D31" s="48" t="s">
        <v>416</v>
      </c>
      <c r="E31" s="48" t="s">
        <v>1099</v>
      </c>
      <c r="F31" s="48" t="s">
        <v>1099</v>
      </c>
      <c r="G31" s="48" t="s">
        <v>1100</v>
      </c>
    </row>
    <row r="32" spans="1:7" ht="33.950000000000003" customHeight="1">
      <c r="A32" s="48" t="s">
        <v>1097</v>
      </c>
      <c r="B32" s="48" t="s">
        <v>1098</v>
      </c>
      <c r="C32" s="48" t="s">
        <v>432</v>
      </c>
      <c r="D32" s="48" t="s">
        <v>416</v>
      </c>
      <c r="E32" s="48" t="s">
        <v>1099</v>
      </c>
      <c r="F32" s="48" t="s">
        <v>1099</v>
      </c>
      <c r="G32" s="48" t="s">
        <v>1100</v>
      </c>
    </row>
    <row r="33" spans="1:7" ht="33.950000000000003" customHeight="1">
      <c r="A33" s="48" t="s">
        <v>1097</v>
      </c>
      <c r="B33" s="48" t="s">
        <v>1098</v>
      </c>
      <c r="C33" s="48" t="s">
        <v>436</v>
      </c>
      <c r="D33" s="48" t="s">
        <v>416</v>
      </c>
      <c r="E33" s="48" t="s">
        <v>1099</v>
      </c>
      <c r="F33" s="48" t="s">
        <v>1099</v>
      </c>
      <c r="G33" s="48" t="s">
        <v>1100</v>
      </c>
    </row>
    <row r="34" spans="1:7" ht="33.950000000000003" customHeight="1">
      <c r="A34" s="48" t="s">
        <v>1097</v>
      </c>
      <c r="B34" s="48" t="s">
        <v>1098</v>
      </c>
      <c r="C34" s="48" t="s">
        <v>439</v>
      </c>
      <c r="D34" s="48" t="s">
        <v>416</v>
      </c>
      <c r="E34" s="48" t="s">
        <v>1099</v>
      </c>
      <c r="F34" s="48" t="s">
        <v>1099</v>
      </c>
      <c r="G34" s="48" t="s">
        <v>1100</v>
      </c>
    </row>
    <row r="35" spans="1:7" ht="33.950000000000003" customHeight="1">
      <c r="A35" s="48" t="s">
        <v>1097</v>
      </c>
      <c r="B35" s="48" t="s">
        <v>1098</v>
      </c>
      <c r="C35" s="48" t="s">
        <v>442</v>
      </c>
      <c r="D35" s="48" t="s">
        <v>416</v>
      </c>
      <c r="E35" s="48" t="s">
        <v>1099</v>
      </c>
      <c r="F35" s="48" t="s">
        <v>1099</v>
      </c>
      <c r="G35" s="48" t="s">
        <v>1100</v>
      </c>
    </row>
    <row r="36" spans="1:7" ht="33.950000000000003" customHeight="1">
      <c r="A36" s="48" t="s">
        <v>1097</v>
      </c>
      <c r="B36" s="48" t="s">
        <v>1098</v>
      </c>
      <c r="C36" s="48" t="s">
        <v>445</v>
      </c>
      <c r="D36" s="48" t="s">
        <v>416</v>
      </c>
      <c r="E36" s="48" t="s">
        <v>1099</v>
      </c>
      <c r="F36" s="48" t="s">
        <v>1099</v>
      </c>
      <c r="G36" s="48" t="s">
        <v>1100</v>
      </c>
    </row>
    <row r="37" spans="1:7" ht="33.950000000000003" customHeight="1">
      <c r="A37" s="48" t="s">
        <v>1097</v>
      </c>
      <c r="B37" s="48" t="s">
        <v>1098</v>
      </c>
      <c r="C37" s="48" t="s">
        <v>462</v>
      </c>
      <c r="D37" s="48" t="s">
        <v>457</v>
      </c>
      <c r="E37" s="48" t="s">
        <v>1099</v>
      </c>
      <c r="F37" s="48" t="s">
        <v>1099</v>
      </c>
      <c r="G37" s="48" t="s">
        <v>1100</v>
      </c>
    </row>
    <row r="38" spans="1:7" ht="33.950000000000003" customHeight="1">
      <c r="A38" s="48" t="s">
        <v>1101</v>
      </c>
      <c r="B38" s="48" t="s">
        <v>1102</v>
      </c>
      <c r="C38" s="48" t="s">
        <v>272</v>
      </c>
      <c r="D38" s="48" t="s">
        <v>191</v>
      </c>
      <c r="E38" s="48" t="s">
        <v>173</v>
      </c>
      <c r="F38" s="48" t="s">
        <v>273</v>
      </c>
      <c r="G38" s="48" t="s">
        <v>225</v>
      </c>
    </row>
    <row r="39" spans="1:7" ht="33.950000000000003" customHeight="1">
      <c r="A39" s="48" t="s">
        <v>1101</v>
      </c>
      <c r="B39" s="48" t="s">
        <v>1102</v>
      </c>
      <c r="C39" s="48" t="s">
        <v>324</v>
      </c>
      <c r="D39" s="48" t="s">
        <v>323</v>
      </c>
      <c r="E39" s="48" t="s">
        <v>172</v>
      </c>
      <c r="F39" s="48" t="s">
        <v>325</v>
      </c>
      <c r="G39" s="48" t="s">
        <v>225</v>
      </c>
    </row>
    <row r="40" spans="1:7" ht="33.950000000000003" customHeight="1">
      <c r="A40" s="48" t="s">
        <v>1101</v>
      </c>
      <c r="B40" s="48" t="s">
        <v>1102</v>
      </c>
      <c r="C40" s="48" t="s">
        <v>333</v>
      </c>
      <c r="D40" s="48" t="s">
        <v>323</v>
      </c>
      <c r="E40" s="48" t="s">
        <v>172</v>
      </c>
      <c r="F40" s="48" t="s">
        <v>334</v>
      </c>
      <c r="G40" s="48" t="s">
        <v>225</v>
      </c>
    </row>
    <row r="41" spans="1:7" ht="33.950000000000003" customHeight="1">
      <c r="A41" s="48" t="s">
        <v>1101</v>
      </c>
      <c r="B41" s="48" t="s">
        <v>1102</v>
      </c>
      <c r="C41" s="48" t="s">
        <v>343</v>
      </c>
      <c r="D41" s="48" t="s">
        <v>323</v>
      </c>
      <c r="E41" s="48" t="s">
        <v>171</v>
      </c>
      <c r="F41" s="48" t="s">
        <v>330</v>
      </c>
      <c r="G41" s="48" t="s">
        <v>225</v>
      </c>
    </row>
    <row r="42" spans="1:7" ht="33.950000000000003" customHeight="1">
      <c r="A42" s="48" t="s">
        <v>1101</v>
      </c>
      <c r="B42" s="48" t="s">
        <v>1102</v>
      </c>
      <c r="C42" s="48" t="s">
        <v>372</v>
      </c>
      <c r="D42" s="48" t="s">
        <v>323</v>
      </c>
      <c r="E42" s="48" t="s">
        <v>170</v>
      </c>
      <c r="F42" s="48" t="s">
        <v>284</v>
      </c>
      <c r="G42" s="48" t="s">
        <v>225</v>
      </c>
    </row>
    <row r="43" spans="1:7" ht="33.950000000000003" customHeight="1">
      <c r="A43" s="48" t="s">
        <v>1101</v>
      </c>
      <c r="B43" s="48" t="s">
        <v>1102</v>
      </c>
      <c r="C43" s="48" t="s">
        <v>388</v>
      </c>
      <c r="D43" s="48" t="s">
        <v>323</v>
      </c>
      <c r="E43" s="48" t="s">
        <v>170</v>
      </c>
      <c r="F43" s="48" t="s">
        <v>389</v>
      </c>
      <c r="G43" s="48" t="s">
        <v>225</v>
      </c>
    </row>
    <row r="44" spans="1:7" ht="33.950000000000003" customHeight="1">
      <c r="A44" s="48" t="s">
        <v>1101</v>
      </c>
      <c r="B44" s="48" t="s">
        <v>1102</v>
      </c>
      <c r="C44" s="48" t="s">
        <v>393</v>
      </c>
      <c r="D44" s="48" t="s">
        <v>323</v>
      </c>
      <c r="E44" s="48" t="s">
        <v>171</v>
      </c>
      <c r="F44" s="48" t="s">
        <v>251</v>
      </c>
      <c r="G44" s="48" t="s">
        <v>225</v>
      </c>
    </row>
    <row r="45" spans="1:7" ht="33.950000000000003" customHeight="1">
      <c r="A45" s="48" t="s">
        <v>1101</v>
      </c>
      <c r="B45" s="48" t="s">
        <v>1102</v>
      </c>
      <c r="C45" s="48" t="s">
        <v>407</v>
      </c>
      <c r="D45" s="48" t="s">
        <v>323</v>
      </c>
      <c r="E45" s="48" t="s">
        <v>170</v>
      </c>
      <c r="F45" s="48" t="s">
        <v>389</v>
      </c>
      <c r="G45" s="48" t="s">
        <v>1100</v>
      </c>
    </row>
    <row r="46" spans="1:7" ht="33.950000000000003" customHeight="1">
      <c r="A46" s="48" t="s">
        <v>1103</v>
      </c>
      <c r="B46" s="48" t="s">
        <v>1104</v>
      </c>
      <c r="C46" s="48" t="s">
        <v>223</v>
      </c>
      <c r="D46" s="48" t="s">
        <v>191</v>
      </c>
      <c r="E46" s="48" t="s">
        <v>173</v>
      </c>
      <c r="F46" s="48" t="s">
        <v>224</v>
      </c>
      <c r="G46" s="48" t="s">
        <v>225</v>
      </c>
    </row>
    <row r="47" spans="1:7" ht="33.950000000000003" customHeight="1">
      <c r="A47" s="48" t="s">
        <v>1103</v>
      </c>
      <c r="B47" s="48" t="s">
        <v>1104</v>
      </c>
      <c r="C47" s="48" t="s">
        <v>230</v>
      </c>
      <c r="D47" s="48" t="s">
        <v>191</v>
      </c>
      <c r="E47" s="48" t="s">
        <v>171</v>
      </c>
      <c r="F47" s="48" t="s">
        <v>231</v>
      </c>
      <c r="G47" s="48" t="s">
        <v>225</v>
      </c>
    </row>
    <row r="48" spans="1:7" ht="33.950000000000003" customHeight="1">
      <c r="A48" s="48" t="s">
        <v>1103</v>
      </c>
      <c r="B48" s="48" t="s">
        <v>1104</v>
      </c>
      <c r="C48" s="48" t="s">
        <v>236</v>
      </c>
      <c r="D48" s="48" t="s">
        <v>191</v>
      </c>
      <c r="E48" s="48" t="s">
        <v>171</v>
      </c>
      <c r="F48" s="48" t="s">
        <v>231</v>
      </c>
      <c r="G48" s="48" t="s">
        <v>1100</v>
      </c>
    </row>
    <row r="49" spans="1:7" ht="33.950000000000003" customHeight="1">
      <c r="A49" s="48" t="s">
        <v>1103</v>
      </c>
      <c r="B49" s="48" t="s">
        <v>1104</v>
      </c>
      <c r="C49" s="48" t="s">
        <v>256</v>
      </c>
      <c r="D49" s="48" t="s">
        <v>191</v>
      </c>
      <c r="E49" s="48" t="s">
        <v>173</v>
      </c>
      <c r="F49" s="48" t="s">
        <v>241</v>
      </c>
      <c r="G49" s="48" t="s">
        <v>225</v>
      </c>
    </row>
    <row r="50" spans="1:7" ht="33.950000000000003" customHeight="1">
      <c r="A50" s="48" t="s">
        <v>1103</v>
      </c>
      <c r="B50" s="48" t="s">
        <v>1104</v>
      </c>
      <c r="C50" s="48" t="s">
        <v>261</v>
      </c>
      <c r="D50" s="48" t="s">
        <v>191</v>
      </c>
      <c r="E50" s="48" t="s">
        <v>1099</v>
      </c>
      <c r="F50" s="48" t="s">
        <v>1099</v>
      </c>
      <c r="G50" s="48" t="s">
        <v>1100</v>
      </c>
    </row>
    <row r="51" spans="1:7" ht="33.950000000000003" customHeight="1">
      <c r="A51" s="48" t="s">
        <v>1105</v>
      </c>
      <c r="B51" s="48" t="s">
        <v>1106</v>
      </c>
      <c r="C51" s="48" t="s">
        <v>339</v>
      </c>
      <c r="D51" s="48" t="s">
        <v>323</v>
      </c>
      <c r="E51" s="48" t="s">
        <v>172</v>
      </c>
      <c r="F51" s="48" t="s">
        <v>325</v>
      </c>
      <c r="G51" s="48" t="s">
        <v>1100</v>
      </c>
    </row>
    <row r="52" spans="1:7" ht="33.950000000000003" customHeight="1">
      <c r="A52" s="48" t="s">
        <v>1107</v>
      </c>
      <c r="B52" s="48" t="s">
        <v>1108</v>
      </c>
      <c r="C52" s="48" t="s">
        <v>240</v>
      </c>
      <c r="D52" s="48" t="s">
        <v>191</v>
      </c>
      <c r="E52" s="48" t="s">
        <v>173</v>
      </c>
      <c r="F52" s="48" t="s">
        <v>241</v>
      </c>
      <c r="G52" s="48" t="s">
        <v>225</v>
      </c>
    </row>
    <row r="53" spans="1:7" ht="33.950000000000003" customHeight="1">
      <c r="A53" s="48" t="s">
        <v>1107</v>
      </c>
      <c r="B53" s="48" t="s">
        <v>1108</v>
      </c>
      <c r="C53" s="48" t="s">
        <v>267</v>
      </c>
      <c r="D53" s="48" t="s">
        <v>191</v>
      </c>
      <c r="E53" s="48" t="s">
        <v>1099</v>
      </c>
      <c r="F53" s="48" t="s">
        <v>1099</v>
      </c>
      <c r="G53" s="48" t="s">
        <v>1100</v>
      </c>
    </row>
    <row r="54" spans="1:7" ht="33.950000000000003" customHeight="1">
      <c r="A54" s="48" t="s">
        <v>1107</v>
      </c>
      <c r="B54" s="48" t="s">
        <v>1108</v>
      </c>
      <c r="C54" s="48" t="s">
        <v>448</v>
      </c>
      <c r="D54" s="48" t="s">
        <v>416</v>
      </c>
      <c r="E54" s="48" t="s">
        <v>173</v>
      </c>
      <c r="F54" s="48" t="s">
        <v>449</v>
      </c>
      <c r="G54" s="48" t="s">
        <v>1100</v>
      </c>
    </row>
    <row r="55" spans="1:7" ht="33.950000000000003" customHeight="1">
      <c r="A55" s="48" t="s">
        <v>1107</v>
      </c>
      <c r="B55" s="48" t="s">
        <v>1108</v>
      </c>
      <c r="C55" s="48" t="s">
        <v>473</v>
      </c>
      <c r="D55" s="48" t="s">
        <v>457</v>
      </c>
      <c r="E55" s="48" t="s">
        <v>172</v>
      </c>
      <c r="F55" s="48" t="s">
        <v>334</v>
      </c>
      <c r="G55" s="48" t="s">
        <v>225</v>
      </c>
    </row>
    <row r="56" spans="1:7" ht="33.950000000000003" customHeight="1">
      <c r="A56" s="48" t="s">
        <v>1107</v>
      </c>
      <c r="B56" s="48" t="s">
        <v>1108</v>
      </c>
      <c r="C56" s="48" t="s">
        <v>480</v>
      </c>
      <c r="D56" s="48" t="s">
        <v>457</v>
      </c>
      <c r="E56" s="48" t="s">
        <v>173</v>
      </c>
      <c r="F56" s="48" t="s">
        <v>278</v>
      </c>
      <c r="G56" s="48" t="s">
        <v>225</v>
      </c>
    </row>
  </sheetData>
  <mergeCells count="2">
    <mergeCell ref="A1:F1"/>
    <mergeCell ref="A25:G2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A19D462F53B74983F673A8167F8355" ma:contentTypeVersion="10" ma:contentTypeDescription="Create a new document." ma:contentTypeScope="" ma:versionID="f3c48b660d9925eac8ee8e69f76b8287">
  <xsd:schema xmlns:xsd="http://www.w3.org/2001/XMLSchema" xmlns:xs="http://www.w3.org/2001/XMLSchema" xmlns:p="http://schemas.microsoft.com/office/2006/metadata/properties" xmlns:ns2="395103e3-911d-4854-8ec4-cc4d0eaaef12" xmlns:ns3="e091cd41-6cd7-425a-883f-6cba28a346fa" targetNamespace="http://schemas.microsoft.com/office/2006/metadata/properties" ma:root="true" ma:fieldsID="a3f55a2c7387d81e6fce2d9c92eba221" ns2:_="" ns3:_="">
    <xsd:import namespace="395103e3-911d-4854-8ec4-cc4d0eaaef12"/>
    <xsd:import namespace="e091cd41-6cd7-425a-883f-6cba28a346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103e3-911d-4854-8ec4-cc4d0eaae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394b9d-137f-40c1-b5b5-fbcf496aefc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91cd41-6cd7-425a-883f-6cba28a346f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e0cedf-2059-4f19-bc3b-d72a6cac9176}" ma:internalName="TaxCatchAll" ma:showField="CatchAllData" ma:web="e091cd41-6cd7-425a-883f-6cba28a346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5103e3-911d-4854-8ec4-cc4d0eaaef12">
      <Terms xmlns="http://schemas.microsoft.com/office/infopath/2007/PartnerControls"/>
    </lcf76f155ced4ddcb4097134ff3c332f>
    <TaxCatchAll xmlns="e091cd41-6cd7-425a-883f-6cba28a346fa" xsi:nil="true"/>
  </documentManagement>
</p:properties>
</file>

<file path=customXml/itemProps1.xml><?xml version="1.0" encoding="utf-8"?>
<ds:datastoreItem xmlns:ds="http://schemas.openxmlformats.org/officeDocument/2006/customXml" ds:itemID="{E654900D-24D2-4A27-9FF4-70D3F75FC196}"/>
</file>

<file path=customXml/itemProps2.xml><?xml version="1.0" encoding="utf-8"?>
<ds:datastoreItem xmlns:ds="http://schemas.openxmlformats.org/officeDocument/2006/customXml" ds:itemID="{D2BBEFDC-5C18-4E25-AAC9-C3C564BEC36E}"/>
</file>

<file path=customXml/itemProps3.xml><?xml version="1.0" encoding="utf-8"?>
<ds:datastoreItem xmlns:ds="http://schemas.openxmlformats.org/officeDocument/2006/customXml" ds:itemID="{B16FE1C0-D8F4-486C-BCD5-AA169AC86C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Service Account</cp:lastModifiedBy>
  <cp:revision/>
  <dcterms:created xsi:type="dcterms:W3CDTF">2026-05-08T03:55:25Z</dcterms:created>
  <dcterms:modified xsi:type="dcterms:W3CDTF">2026-06-11T07:19:50Z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0x01010073A19D462F53B74983F673A8167F8355</vt:lpwstr>
  </property>
  <property fmtid="{D5CDD505-2E9C-101B-9397-08002B2CF9AE}" pid="3" name="MediaServiceImageTags">
    <vt:lpwstr/>
  </property>
</Properties>
</file>